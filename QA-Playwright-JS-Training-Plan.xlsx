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xr:revisionPtr revIDLastSave="0" documentId="8_{34345646-DD8D-476E-A01B-5252FB183593}" xr6:coauthVersionLast="47" xr6:coauthVersionMax="47" xr10:uidLastSave="{00000000-0000-0000-0000-000000000000}"/>
  <bookViews>
    <workbookView xWindow="240" yWindow="105" windowWidth="14805" windowHeight="8010" firstSheet="1" xr2:uid="{00000000-000D-0000-FFFF-FFFF00000000}"/>
  </bookViews>
  <sheets>
    <sheet name="PW-JS-Training-Plan" sheetId="1" r:id="rId1"/>
    <sheet name="Tracking" sheetId="2" r:id="rId2"/>
  </sheets>
  <definedNames>
    <definedName name="_xlnm._FilterDatabase" localSheetId="0" hidden="1">'PW-JS-Training-Plan'!$A$1:$J$31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AI11" i="2"/>
  <c r="AH11" i="2"/>
  <c r="AI10" i="2"/>
  <c r="AH10" i="2"/>
  <c r="AI9" i="2"/>
  <c r="AH9" i="2"/>
  <c r="AI8" i="2"/>
  <c r="AH8" i="2"/>
  <c r="AI7" i="2"/>
  <c r="AH7" i="2"/>
  <c r="AI6" i="2"/>
  <c r="AH6" i="2"/>
  <c r="AI5" i="2"/>
  <c r="AH5" i="2"/>
  <c r="AL5" i="2" l="1"/>
  <c r="AJ5" i="2"/>
  <c r="AL6" i="2"/>
  <c r="AJ6" i="2"/>
  <c r="AL7" i="2"/>
  <c r="AJ7" i="2"/>
  <c r="AL8" i="2"/>
  <c r="AJ8" i="2"/>
  <c r="AL9" i="2"/>
  <c r="AJ9" i="2"/>
  <c r="AL10" i="2"/>
  <c r="AJ10" i="2"/>
  <c r="AL11" i="2"/>
  <c r="AJ11" i="2"/>
</calcChain>
</file>

<file path=xl/sharedStrings.xml><?xml version="1.0" encoding="utf-8"?>
<sst xmlns="http://schemas.openxmlformats.org/spreadsheetml/2006/main" count="364" uniqueCount="284">
  <si>
    <t>📚 JavaScript &amp; Playwright Test Automation Training Curriculum</t>
  </si>
  <si>
    <t>Week</t>
  </si>
  <si>
    <t>Date</t>
  </si>
  <si>
    <t>Session Type</t>
  </si>
  <si>
    <t>Module</t>
  </si>
  <si>
    <t>Topic</t>
  </si>
  <si>
    <t>Session Owner</t>
  </si>
  <si>
    <t>Core Concepts &amp; Learning Objectives</t>
  </si>
  <si>
    <t>Weekly Assignment (Homework)</t>
  </si>
  <si>
    <t>Status</t>
  </si>
  <si>
    <t>📅 Calendar Invite</t>
  </si>
  <si>
    <t>Week 1</t>
  </si>
  <si>
    <t>Wed, Jul 29, 2026</t>
  </si>
  <si>
    <t>Core</t>
  </si>
  <si>
    <t>Module 1: JS Fundamentals</t>
  </si>
  <si>
    <t>Environment Setup &amp; First Line of Code</t>
  </si>
  <si>
    <t>Vishal Tyagi</t>
  </si>
  <si>
    <t>Node.js, VS Code setup, terminal usage, console.log(), execution flow.</t>
  </si>
  <si>
    <t>1) Install Node.js &amp; VS Code. Create `hello.js` and print a welcome message, your name, and role using terminal.
2) Create `about-me.js` that logs 3 separate console.log() statements: your name, your favorite tool, and today's date.
3) Run both scripts using `node` from the terminal and take a screenshot of the output.</t>
  </si>
  <si>
    <t>Optional Session A</t>
  </si>
  <si>
    <t>Self-paced, anytime after Week 1</t>
  </si>
  <si>
    <t>Optional</t>
  </si>
  <si>
    <t>Git &amp; Version Control</t>
  </si>
  <si>
    <t>Git Basics &amp; Local Workflow</t>
  </si>
  <si>
    <t>Self-study</t>
  </si>
  <si>
    <t>What is version control &amp; why it matters, installing Git, `git init`, `git status`, `git add`, `git commit`, `git log`, writing good commit messages, `.gitignore` basics.</t>
  </si>
  <si>
    <t>1) Install Git and configure your username/email (`git config`). Initialize a repo in your training folder and commit `hello.js` and `about-me.js` with a meaningful commit message.
2) Make 3 more small changes across 3 separate commits, then review the history with `git log --oneline`.
3) Create a `.gitignore` file that excludes `node_modules/` and any local config files.</t>
  </si>
  <si>
    <t>Week 2</t>
  </si>
  <si>
    <t>Wed, Aug 05, 2026</t>
  </si>
  <si>
    <t>Variables &amp; Basic Data Types</t>
  </si>
  <si>
    <t>Tarun</t>
  </si>
  <si>
    <t>let vs const, Strings, Numbers, Booleans, basic string concatenation.</t>
  </si>
  <si>
    <t>1) Declare variables for test inputs (`appUrl`, `username`, `maxTimeout`, `isLoggedIn`). Print a formatted summary line.
2) Write a script that intentionally tries to reassign a `const` variable and observe/explain the error in a comment.
3) Create variables for `firstName`, `lastName`, and `age`, then build a single sentence using template literals (backticks) instead of `+` concatenation.</t>
  </si>
  <si>
    <t>Week 3</t>
  </si>
  <si>
    <t>Wed, Aug 12, 2026</t>
  </si>
  <si>
    <t>Conditional Logic &amp; Operators</t>
  </si>
  <si>
    <t>Aruneema</t>
  </si>
  <si>
    <t>if/else statements, equality operators (===, !==), logical operators (&amp;&amp;, ||).</t>
  </si>
  <si>
    <t>1) Write a script that takes a user role variable ('Admin', 'Tester', 'Guest') and prints appropriate permission levels using conditional logic.
2) Extend the script with an `else if` chain to also handle an unrecognized role value.
3) Write a second script using `&amp;&amp;` and `||` to check if a user `isLoggedIn` AND `hasValidSession`, printing 'Access Granted' or 'Access Denied'.</t>
  </si>
  <si>
    <t>Week 4</t>
  </si>
  <si>
    <t>Wed, Aug 19, 2026</t>
  </si>
  <si>
    <t>Functions &amp; Reusability</t>
  </si>
  <si>
    <t>Prachi</t>
  </si>
  <si>
    <t>Function declarations, parameters, return values, arrow functions (`() =&gt; {}`).</t>
  </si>
  <si>
    <t>1) Write reusable helper functions: `calculateTotalPrice(price, taxRate)` and `generateUserEmail(firstName, domain)`.
2) Rewrite both functions as arrow functions and compare the syntax in a comment.
3) Write a `isValidPassword(password)` function that returns `true`/`false` based on a minimum length rule, and call it with 3 different test values.</t>
  </si>
  <si>
    <t>Week 5</t>
  </si>
  <si>
    <t>Wed, Aug 26, 2026</t>
  </si>
  <si>
    <t>Arrays &amp; Loops</t>
  </si>
  <si>
    <t>Array creation, indexing, length property, `for` loops, `for...of` loops.</t>
  </si>
  <si>
    <t>1) Create an array of 5 sample product titles. Loop through the array and print only titles that contain more than 10 characters.
2) Add a 6th product using `.push()` and remove the first one using `.shift()`, printing the array after each change.
3) Use a `for...of` loop to count and print how many titles contain the word 'Shirt' or 'Bag'.</t>
  </si>
  <si>
    <t>Optional Session B</t>
  </si>
  <si>
    <t>Self-paced, anytime after Week 5</t>
  </si>
  <si>
    <t>Branching &amp; Merging</t>
  </si>
  <si>
    <t>`git branch`, `git checkout`/`git switch`, creating feature branches, `git merge`, understanding and resolving merge conflicts.</t>
  </si>
  <si>
    <t>1) Create a new branch `feature/arrays-practice`, make a change to your Week 5 script, and commit it on that branch.
2) Merge the branch back into `main`/`master` and confirm the change appears in history.
3) Deliberately create a merge conflict (edit the same line on two branches) and practice resolving it manually, then commit the resolution.</t>
  </si>
  <si>
    <t>Week 6</t>
  </si>
  <si>
    <t>Wed, Sep 02, 2026</t>
  </si>
  <si>
    <t>Async/Await &amp; Promises</t>
  </si>
  <si>
    <t>Synchronous vs Asynchronous execution, Promises, `async` and `await` keywords in plain English.</t>
  </si>
  <si>
    <t>1) Create a mock `fetchUserData()` function using `setTimeout` to simulate delay, then call it using `async/await` and log results.
2) Write a second mock function `fetchOrderData()` and call both functions sequentially with `await`, logging total time taken.
3) Introduce a deliberate rejected Promise and handle it with `try/catch`, logging a friendly error message.</t>
  </si>
  <si>
    <t>Week 7</t>
  </si>
  <si>
    <t>Wed, Sep 09, 2026</t>
  </si>
  <si>
    <t>Module 2: Playwright Core</t>
  </si>
  <si>
    <t>Playwright Setup &amp; CodeGen Intro</t>
  </si>
  <si>
    <t>Hritik</t>
  </si>
  <si>
    <t>`npm init playwright@latest`, project structure, running Playwright CodeGen (`npx playwright codegen`).</t>
  </si>
  <si>
    <t>1) Use CodeGen to record a complete login &amp; product search scenario on SauceDemo. Run the generated script and inspect results.
2) Record a second CodeGen flow: adding an item to the cart and completing checkout, then clean up the generated code by removing redundant steps.
3) Explore the generated `playwright.config.ts` and document (in comments) what `baseURL`, `headless`, and `retries` control.</t>
  </si>
  <si>
    <t>Optional Session C</t>
  </si>
  <si>
    <t>Self-paced, anytime after Week 7</t>
  </si>
  <si>
    <t>Remote Repositories &amp; GitHub Collaboration</t>
  </si>
  <si>
    <t>Creating a GitHub repo, `git remote add`, `git push`/`git pull`, cloning a repo, forking, opening a Pull Request, code review basics.</t>
  </si>
  <si>
    <t>1) Create a GitHub account/repo (if you don't have one) and push your local Playwright project to it.
2) Clone the repo into a second local folder to simulate a teammate, make a change on a new branch, push it, and open a Pull Request.
3) Review your own PR: add one review comment, then merge it via GitHub and pull the merged changes back into your original local folder.</t>
  </si>
  <si>
    <t>Optional Session D</t>
  </si>
  <si>
    <t>Project Config</t>
  </si>
  <si>
    <t>Understanding package.json structure, npm scripts, node_modules folder, dependency management, devDependencies vs dependencies, npm install/update basics.</t>
  </si>
  <si>
    <t>1) Open your Playwright project's `package.json` and document (in comments) what each section means: name, scripts, dependencies, devDependencies.
2) Add a custom npm script (e.g., `"test:smoke": "npx playwright test --grep @smoke"`) and run it from the terminal.
3) Delete `node_modules`, run `npm install`, and explain in a comment why this works and when you'd need to do this.</t>
  </si>
  <si>
    <t>Optional Session E</t>
  </si>
  <si>
    <t>DOM Basics</t>
  </si>
  <si>
    <t>Chrome DevTools usage for element inspection, HTML attributes (id, class, data-*), DOM hierarchy and parent-child relationships, understanding how browsers render pages.</t>
  </si>
  <si>
    <t>1) Use Chrome DevTools to inspect 5 different elements on a webpage - document their tag names, attributes, and position in the DOM hierarchy.
2) Practice using the Elements panel to temporarily modify HTML/CSS and observe changes in real-time.
3) Use the Console to run `document.querySelector()` commands and locate elements by various attributes, comparing results to Playwright locators.</t>
  </si>
  <si>
    <t>Week 8</t>
  </si>
  <si>
    <t>Wed, Sep 16, 2026</t>
  </si>
  <si>
    <t>Locators &amp; Page Interactions</t>
  </si>
  <si>
    <t>User-facing locators (`getByRole`, `getByLabel`, `getByTestId`), CSS/XPath alternative strategies.</t>
  </si>
  <si>
    <t>1) Write a script manually (without CodeGen) to navigate to a practice site, locate 5 different elements using `getByRole` &amp; `getByLabel`, and perform actions.
2) Locate the same 5 elements using CSS selectors instead, and note in comments which approach felt more readable/stable.
3) Use `getByTestId` (or `data-testid`) on at least 2 elements and explain why test IDs are considered a more resilient locator strategy.</t>
  </si>
  <si>
    <t>Week 9</t>
  </si>
  <si>
    <t>Wed, Sep 23, 2026</t>
  </si>
  <si>
    <t>Actions &amp; User Inputs</t>
  </si>
  <si>
    <t>Filling inputs (`.fill()`), clicking (`.click()`), radio buttons (`.check()`), dropdowns (`.selectOption()`).</t>
  </si>
  <si>
    <t>1) Automate filling out a full registration web form with text fields, checkboxes, radio options, and multi-select dropdowns.
2) Add keyboard interactions (`.press('Tab')`, `.press('Enter')`) to move between fields and submit the form without clicking the submit button directly.
3) Write a negative-path test that submits the form with required fields left blank and verify the appropriate validation messages appear.</t>
  </si>
  <si>
    <t>Week 10</t>
  </si>
  <si>
    <t>Wed, Sep 30, 2026</t>
  </si>
  <si>
    <t>Assertions &amp; Verification</t>
  </si>
  <si>
    <t>Expect assertions (`toHaveTitle`, `toBeVisible`, `toHaveText`, `toContainText`, `toBeEnabled`).</t>
  </si>
  <si>
    <t>1) Write a login test suite covering 3 scenarios (Success, Invalid Password, Blank Username) with explicit `expect()` assertions for each.
2) Add a 4th scenario for a locked-out/disabled user and assert the error banner text using `toContainText`.
3) Add assertions that check the submit button's enabled/disabled state (`toBeEnabled`/`toBeDisabled`) before and after filling the form.</t>
  </si>
  <si>
    <t>Week 11</t>
  </si>
  <si>
    <t>Wed, Oct 07, 2026</t>
  </si>
  <si>
    <t>Auto-Waiting &amp; Handling Delays</t>
  </si>
  <si>
    <t>Vishal Tyagi - Jr</t>
  </si>
  <si>
    <t>Playwright auto-waiting mechanism, explicit waiting (`waitForSelector`, `waitForURL`), timeout configurations.</t>
  </si>
  <si>
    <t>1) Automate testing a dynamic loading web page where elements appear after a 3-second delay without using hardcoded timeouts.
2) Add a scenario that waits for a URL change after a navigation action using `waitForURL`, and assert the new page's content.
3) Deliberately set a very short custom timeout on one assertion to force a timeout error, then fix it and document the difference in behavior.</t>
  </si>
  <si>
    <t>Optional Session F</t>
  </si>
  <si>
    <t>Self-paced, anytime after Week 11</t>
  </si>
  <si>
    <t>Complex Popups</t>
  </si>
  <si>
    <t>Handling IFrames using `frameLocator()`, browser dialogs and alerts using `page.on('dialog')`, accepting/dismissing alerts, nested frames.</t>
  </si>
  <si>
    <t>1) Write a test that interacts with elements inside an IFrame using `frameLocator()` on a practice site.
2) Handle a JavaScript alert dialog using `page.on('dialog')` - accept it and verify the page state changes accordingly.
3) Create a test scenario that dismisses a confirm dialog and verifies the 'Cancel' action was processed correctly.</t>
  </si>
  <si>
    <t>Week 12</t>
  </si>
  <si>
    <t>Wed, Oct 14, 2026</t>
  </si>
  <si>
    <t>Test Execution &amp; Debugging</t>
  </si>
  <si>
    <t>CLI test runner (`npx playwright test`), headed mode, debugging `--debug`, HTML reports, trace viewer.</t>
  </si>
  <si>
    <t>1) Execute a test suite in headless mode, deliberately fail one test, extract the HTML report, open trace viewer, and analyze the root cause.
2) Re-run the same failing test in headed mode with `--debug` and step through it using Playwright Inspector, documenting what caused the failure.
3) Run the full suite with the `--trace on` flag and use the trace viewer to identify the slowest test step.</t>
  </si>
  <si>
    <t>Optional Session G</t>
  </si>
  <si>
    <t>Self-paced, anytime after Week 12</t>
  </si>
  <si>
    <t>Git Workflow for Test Automation Projects</t>
  </si>
  <si>
    <t>Rebase vs merge, `git stash`, tagging releases, ignoring Playwright artifacts (`test-results/`, `playwright-report/`), commit conventions for test code, undoing mistakes (`git revert`, `git reset`).</t>
  </si>
  <si>
    <t>1) Set up a proper `.gitignore` for a Playwright project (`node_modules/`, `test-results/`, `playwright-report/`, `.env`).
2) Practice `git stash` while mid-way through a test change, switch branches to fix something urgent, then `git stash pop` to resume.
3) Tag a stable commit as `v1.0-suite` using `git tag`, and practice safely undoing a bad commit with `git revert` (not `reset --hard`).</t>
  </si>
  <si>
    <t>Optional Session H</t>
  </si>
  <si>
    <t>Coding Standards &amp; Best Practices</t>
  </si>
  <si>
    <t>Writing Clean &amp; Maintainable Test Code</t>
  </si>
  <si>
    <t>Consistent naming conventions (files, functions, variables), ESLint &amp; Prettier setup, avoiding hardcoded waits/magic strings, DRY principle in test code, meaningful assertions vs over-asserting, code review checklist for PRs, folder/file structure conventions.</t>
  </si>
  <si>
    <t>1) Install and configure ESLint + Prettier in your Playwright project, fix all existing lint warnings across previous weeks' scripts.
2) Refactor one existing test file to remove magic strings/hardcoded values into a constants or config file, and rename any poorly-named variables/functions.
3) Create a short personal 'Code Review Checklist' (5-8 items, e.g. no hardcoded waits, descriptive test names, no duplicated locators) and apply it to review one of your own past assignments, noting what you'd change.</t>
  </si>
  <si>
    <t>Week 13</t>
  </si>
  <si>
    <t>Wed, Oct 21, 2026</t>
  </si>
  <si>
    <t>Module 3: Test Architecture</t>
  </si>
  <si>
    <t>Test Suite Organization &amp; Hooks</t>
  </si>
  <si>
    <t>`test.describe()`, `test.beforeEach()`, `test.afterEach()`, grouping tests logically.</t>
  </si>
  <si>
    <t>1) Refactor existing login &amp; checkout scripts into structured `test.describe` blocks sharing common `beforeEach` navigation logic.
2) Add an `afterEach` hook that logs the test name and status (pass/fail) after every test.
3) Add a `test.beforeAll`/`test.afterAll` pair to set up and tear down any shared test data, and explain in a comment how their scope differs from `beforeEach`/`afterEach`.</t>
  </si>
  <si>
    <t>Optional Session I</t>
  </si>
  <si>
    <t>Self-paced, anytime after Week 13</t>
  </si>
  <si>
    <t>Environment Vars</t>
  </si>
  <si>
    <t>Environment configuration using dotenv / .env files, managing secrets, separating config from code, loading environment-specific URLs and credentials.</t>
  </si>
  <si>
    <t>1) Install `dotenv` and create a `.env` file with `BASE_URL`, `USERNAME`, and `PASSWORD` variables for your test project.
2) Refactor an existing test to read credentials from environment variables instead of hardcoded values.
3) Create separate `.env.dev` and `.env.staging` files and document how to switch between environments when running tests.</t>
  </si>
  <si>
    <t>Week 14</t>
  </si>
  <si>
    <t>Wed, Oct 28, 2026</t>
  </si>
  <si>
    <t>Page Object Model (POM) - Part 1</t>
  </si>
  <si>
    <t>POM architectural pattern, creating Page classes, encapsulating locators &amp; constructor.</t>
  </si>
  <si>
    <t>1) Create `LoginPage.js` and `InventoryPage.js` classes encapsulating locators and basic component getters.
2) Add a `CartPage.js` class following the same pattern, encapsulating cart-related locators only.
3) Write a simple test file that imports all 3 page classes and simply verifies each page loads (no actions yet), to confirm the POM structure works end-to-end.</t>
  </si>
  <si>
    <t>Week 15</t>
  </si>
  <si>
    <t>Wed, Nov 04, 2026</t>
  </si>
  <si>
    <t>Page Object Model (POM) - Part 2</t>
  </si>
  <si>
    <t>Encapsulating action methods inside Page classes, clean test script instantiation.</t>
  </si>
  <si>
    <t>1) Complete a 2-page POM framework implementation (Login + Add to Cart + Checkout) and execute clean test scripts importing page objects.
2) Add reusable action methods (e.g. `login()`, `addItemToCart(itemName)`, `checkout()`) to the relevant page classes so tests contain no raw locators.
3) Write 2 additional end-to-end test scenarios (e.g. remove item from cart, sort products by price) purely by composing existing page object methods.</t>
  </si>
  <si>
    <t>Optional Session J</t>
  </si>
  <si>
    <t>Self-paced, anytime after Week 15</t>
  </si>
  <si>
    <t>API Setup (Bonus)</t>
  </si>
  <si>
    <t>Basic API seeding using Playwright's request context, setting up test data via API before UI tests, authentication tokens, request/response handling.</t>
  </si>
  <si>
    <t>1) Use Playwright's `request` context to make a GET request to a public API and log the response.
2) Create a test that seeds test data via API call before running a UI verification step.
3) Write a helper function that authenticates via API and stores the token for subsequent requests.</t>
  </si>
  <si>
    <t>Optional Session K</t>
  </si>
  <si>
    <t>AI-Assisted QA &amp; Test Scripting</t>
  </si>
  <si>
    <t>AI Tools for Test Automation Awareness</t>
  </si>
  <si>
    <t>Using AI coding assistants (e.g. GitHub Copilot, Claude, ChatGPT) to generate/refactor test scripts, prompt engineering for writing test cases &amp; locators, AI-assisted debugging of failing tests, self-healing locators concept, limitations &amp; risks of AI-generated code (hallucinated selectors, outdated APIs, over-trusting output), always reviewing AI output before committing.</t>
  </si>
  <si>
    <t>1) Use an AI assistant to generate a new Playwright test scenario (e.g. 'add to cart and remove item') from a plain-English prompt, then manually review and correct any inaccurate locators or logic before running it.
2) Paste one of your own failing tests and its error message into an AI assistant to get a suggested fix; apply the fix only after understanding *why* it works, and note in a comment what the AI got wrong or right.
3) Write a short reflection (5-6 sentences) on one risk of blindly trusting AI-generated test code and one way you verified the AI's suggestion before using it.</t>
  </si>
  <si>
    <t>Week 16</t>
  </si>
  <si>
    <t>Wed, Nov 11, 2026</t>
  </si>
  <si>
    <t>Module 4: TypeScript Intro</t>
  </si>
  <si>
    <t>Transitioning JS to TypeScript</t>
  </si>
  <si>
    <t>TypeScript intro, `.ts` files, basic type annotations (`string`, `number`, `boolean`, `any`), compile errors vs runtime errors.</t>
  </si>
  <si>
    <t>1) Rename existing JS helper files to `.ts`, add explicit type annotations to functions/variables, and resolve all TypeScript compiler warnings.
2) Deliberately pass a wrong-typed argument (e.g. a number where a string is expected) to one function and document the compiler error message.
3) Replace any remaining `any` types with more specific types and note which ones were safe to change.</t>
  </si>
  <si>
    <t>Week 17</t>
  </si>
  <si>
    <t>Wed, Nov 18, 2026</t>
  </si>
  <si>
    <t>TypeScript Interfaces &amp; Page Objects</t>
  </si>
  <si>
    <t>Defining `interface` &amp; `type` for test data, typing Page Objects, IntelliSense advantages.</t>
  </si>
  <si>
    <t>1) Create a `TestData.ts` file containing interfaces for `UserCredentials` &amp; `ProductDetails`. Refactor Page Objects to use typed parameters.
2) Add a third interface `OrderSummary` (e.g. itemCount, totalPrice, shippingAddress) and use it as the return type of a checkout helper function.
3) Create at least 2 typed test data objects using the interfaces and use them to drive a data-driven login test (valid vs invalid credentials).</t>
  </si>
  <si>
    <t>Week 18</t>
  </si>
  <si>
    <t>Wed, Nov 25, 2026</t>
  </si>
  <si>
    <t>Capstone Project &amp; Review</t>
  </si>
  <si>
    <t>End-to-End test suite review, framework design, capstone project presentations.</t>
  </si>
  <si>
    <t>1) Submit complete End-to-End automated regression test suite using TS + Playwright + POM for a sample web application.
2) Add a short README documenting how to install dependencies, run the suite, and view the HTML report.
3) Prepare a 5-10 minute presentation walking through your framework structure, one interesting bug found, and one improvement you'd make with more time.</t>
  </si>
  <si>
    <t>📊 Training Progress Tracker</t>
  </si>
  <si>
    <t>#</t>
  </si>
  <si>
    <t>Participant Name</t>
  </si>
  <si>
    <t>Email</t>
  </si>
  <si>
    <t>Start Date</t>
  </si>
  <si>
    <t>W1</t>
  </si>
  <si>
    <t>Opt-A</t>
  </si>
  <si>
    <t>W2</t>
  </si>
  <si>
    <t>W3</t>
  </si>
  <si>
    <t>W4</t>
  </si>
  <si>
    <t>W5</t>
  </si>
  <si>
    <t>Opt-B</t>
  </si>
  <si>
    <t>W6</t>
  </si>
  <si>
    <t>W7</t>
  </si>
  <si>
    <t>Opt-C</t>
  </si>
  <si>
    <t>Opt-D</t>
  </si>
  <si>
    <t>Opt-E</t>
  </si>
  <si>
    <t>W8</t>
  </si>
  <si>
    <t>W9</t>
  </si>
  <si>
    <t>W10</t>
  </si>
  <si>
    <t>W11</t>
  </si>
  <si>
    <t>Opt-F</t>
  </si>
  <si>
    <t>W12</t>
  </si>
  <si>
    <t>Opt-G</t>
  </si>
  <si>
    <t>Opt-H</t>
  </si>
  <si>
    <t>W13</t>
  </si>
  <si>
    <t>Opt-I</t>
  </si>
  <si>
    <t>W14</t>
  </si>
  <si>
    <t>W15</t>
  </si>
  <si>
    <t>Opt-J</t>
  </si>
  <si>
    <t>Opt-K</t>
  </si>
  <si>
    <t>W16</t>
  </si>
  <si>
    <t>W17</t>
  </si>
  <si>
    <t>W18</t>
  </si>
  <si>
    <t>Core Done</t>
  </si>
  <si>
    <t>Optional Done</t>
  </si>
  <si>
    <t>Total %</t>
  </si>
  <si>
    <t>Notes</t>
  </si>
  <si>
    <t>Attendance %</t>
  </si>
  <si>
    <t>Environment Setup</t>
  </si>
  <si>
    <t>Git Basics</t>
  </si>
  <si>
    <t>Variables</t>
  </si>
  <si>
    <t>Conditional Logic</t>
  </si>
  <si>
    <t>Functions</t>
  </si>
  <si>
    <t>Branching</t>
  </si>
  <si>
    <t>Async/Await</t>
  </si>
  <si>
    <t>PW Setup</t>
  </si>
  <si>
    <t>GitHub Collab</t>
  </si>
  <si>
    <t>Locators</t>
  </si>
  <si>
    <t>Actions</t>
  </si>
  <si>
    <t>Assertions</t>
  </si>
  <si>
    <t>Auto-Waiting</t>
  </si>
  <si>
    <t>Test Execution</t>
  </si>
  <si>
    <t>Git Workflow</t>
  </si>
  <si>
    <t>Clean Code</t>
  </si>
  <si>
    <t>Test Hooks</t>
  </si>
  <si>
    <t>Env Vars</t>
  </si>
  <si>
    <t>POM-1</t>
  </si>
  <si>
    <t>POM-2</t>
  </si>
  <si>
    <t>API Setup</t>
  </si>
  <si>
    <t>AI Tools</t>
  </si>
  <si>
    <t>JS to TS</t>
  </si>
  <si>
    <t>TS Interfaces</t>
  </si>
  <si>
    <t>Capstone</t>
  </si>
  <si>
    <t>(18 max)</t>
  </si>
  <si>
    <t>(11 max)</t>
  </si>
  <si>
    <t>(Core only)</t>
  </si>
  <si>
    <t>Vikas Shukla</t>
  </si>
  <si>
    <t>vikas.shukla@taazaa.com</t>
  </si>
  <si>
    <t>Shubham Saraswat</t>
  </si>
  <si>
    <t>shubham.saraswat@taazaa.com</t>
  </si>
  <si>
    <t>Avinash Singh</t>
  </si>
  <si>
    <t>avinash.singh@taazaa.com</t>
  </si>
  <si>
    <t>Jyoti Kumari</t>
  </si>
  <si>
    <t>jyoti.kumari@taazaa.com</t>
  </si>
  <si>
    <t>Anas Javed</t>
  </si>
  <si>
    <t>anas.javed@taazaa.com</t>
  </si>
  <si>
    <t>Deepali Bhatnagar</t>
  </si>
  <si>
    <t>deepali.bhatnagar@taazaa.com</t>
  </si>
  <si>
    <t>Shilpa Mattoo</t>
  </si>
  <si>
    <t>shilpa.mattoo@taazaa.com</t>
  </si>
  <si>
    <t>Debasish Sahoo</t>
  </si>
  <si>
    <t>debasish.sahoo@taazaa.com</t>
  </si>
  <si>
    <t>Akshay Choudhari</t>
  </si>
  <si>
    <t>akshay.choudhari@taazaa.com</t>
  </si>
  <si>
    <t>Utkarsh Neb</t>
  </si>
  <si>
    <t>utkarsh.neb@taazaa.com</t>
  </si>
  <si>
    <t>Viraj Mandavkar</t>
  </si>
  <si>
    <t>viraj.mandavkar@taazaa.com</t>
  </si>
  <si>
    <t>Aishwarya Thakur</t>
  </si>
  <si>
    <t>aishwarya.thakur@taazaa.com</t>
  </si>
  <si>
    <t>Om Menkudale</t>
  </si>
  <si>
    <t>om.menkudale@taazaa.com</t>
  </si>
  <si>
    <t>Vaishnavi Kurhade</t>
  </si>
  <si>
    <t xml:space="preserve">vaishnavi.kurhade@taazaa.com </t>
  </si>
  <si>
    <t>Nikhil Deshmukh</t>
  </si>
  <si>
    <t>nikhil.deshmukh@taazaa.com</t>
  </si>
  <si>
    <t>Awanti Mahadik</t>
  </si>
  <si>
    <t>awanti.mahadik@taazaa.com</t>
  </si>
  <si>
    <t>Sumit Dhage</t>
  </si>
  <si>
    <t>sumit.dhage@taazaa.com</t>
  </si>
  <si>
    <t xml:space="preserve">Amrendra Raj </t>
  </si>
  <si>
    <t>amrendra.raj@taazaa.com</t>
  </si>
  <si>
    <t>Abhishek Kumbhar</t>
  </si>
  <si>
    <t>abhishek.kumbhar@taazaa.com</t>
  </si>
  <si>
    <t xml:space="preserve">Purnima Gautam </t>
  </si>
  <si>
    <t xml:space="preserve">purnima.gautam@taazaa.com </t>
  </si>
  <si>
    <t>📋 Instructions:</t>
  </si>
  <si>
    <t>• Mark completed sessions with ✓ (checkmark) or use: P=Present, A=Absent, E=Excused</t>
  </si>
  <si>
    <t>• Blue columns = Core sessions (required) | Purple columns = Optional sessions</t>
  </si>
  <si>
    <t>• Core Done &amp; Optional Done auto-calculate based on ✓ marks</t>
  </si>
  <si>
    <t>• Total % shows progress through the 18 core sessions</t>
  </si>
  <si>
    <t>📊 Attendance Legend:</t>
  </si>
  <si>
    <t>✓ or P = Present/Completed | A = Absent | E = Excused | - = Not yet held</t>
  </si>
  <si>
    <t>← Copy this checkmark to mark sessions complete</t>
  </si>
  <si>
    <t>🎯 Quick Copy: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</si>
</sst>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yyyy"/>
  </numFmts>
  <fonts count="23">
    <font>
      <sz val="11"/>
      <color theme="1"/>
      <name val="Calibri"/>
      <family val="2"/>
      <scheme val="minor"/>
    </font>
    <font>
      <b/>
      <sz val="11"/>
      <color rgb="FFFFFFFF"/>
      <name val="Calibri"/>
      <family val="2"/>
      <scheme val="minor"/>
    </font>
    <font>
      <b/>
      <sz val="12"/>
      <color rgb="FFFFFFFF"/>
      <name val="Calibri"/>
      <family val="2"/>
      <scheme val="minor"/>
    </font>
    <font>
      <i/>
      <sz val="11"/>
      <color theme="1"/>
      <name val="Calibri"/>
      <family val="2"/>
      <scheme val="minor"/>
    </font>
    <font>
      <b/>
      <sz val="11"/>
      <color theme="1"/>
      <name val="Calibri"/>
      <family val="2"/>
      <scheme val="minor"/>
    </font>
    <font>
      <b/>
      <sz val="11"/>
      <color rgb="FF1F4E79"/>
      <name val="Calibri"/>
      <family val="2"/>
      <scheme val="minor"/>
    </font>
    <font>
      <i/>
      <sz val="11"/>
      <color rgb="FF7030A0"/>
      <name val="Calibri"/>
      <family val="2"/>
      <scheme val="minor"/>
    </font>
    <font>
      <b/>
      <i/>
      <sz val="11"/>
      <color theme="1"/>
      <name val="Calibri"/>
      <family val="2"/>
      <scheme val="minor"/>
    </font>
    <font>
      <b/>
      <sz val="11"/>
      <color rgb="FF2E75B6"/>
      <name val="Calibri"/>
      <family val="2"/>
      <scheme val="minor"/>
    </font>
    <font>
      <b/>
      <i/>
      <sz val="11"/>
      <color rgb="FF2E75B6"/>
      <name val="Calibri"/>
      <family val="2"/>
      <scheme val="minor"/>
    </font>
    <font>
      <b/>
      <sz val="18"/>
      <color rgb="FF1F4E79"/>
      <name val="Calibri"/>
      <family val="2"/>
      <scheme val="minor"/>
    </font>
    <font>
      <b/>
      <i/>
      <sz val="11"/>
      <color rgb="FF7030A0"/>
      <name val="Calibri"/>
      <family val="2"/>
      <scheme val="minor"/>
    </font>
    <font>
      <i/>
      <sz val="9"/>
      <color rgb="FFFFFFFF"/>
      <name val="Calibri"/>
      <family val="2"/>
      <scheme val="minor"/>
    </font>
    <font>
      <b/>
      <sz val="12"/>
      <color theme="1"/>
      <name val="Calibri"/>
      <family val="2"/>
      <scheme val="minor"/>
    </font>
    <font>
      <sz val="10"/>
      <color rgb="FF666666"/>
      <name val="Calibri"/>
      <family val="2"/>
      <scheme val="minor"/>
    </font>
    <font>
      <sz val="11"/>
      <color rgb="FF666666"/>
      <name val="Calibri"/>
      <family val="2"/>
      <scheme val="minor"/>
    </font>
    <font>
      <b/>
      <sz val="10"/>
      <color theme="1"/>
      <name val="Calibri"/>
      <family val="2"/>
      <scheme val="minor"/>
    </font>
    <font>
      <b/>
      <i/>
      <sz val="10"/>
      <color theme="1"/>
      <name val="Calibri"/>
      <family val="2"/>
      <scheme val="minor"/>
    </font>
    <font>
      <b/>
      <sz val="10"/>
      <color rgb="FF666666"/>
      <name val="Calibri"/>
      <family val="2"/>
      <scheme val="minor"/>
    </font>
    <font>
      <u/>
      <sz val="11"/>
      <color theme="10"/>
      <name val="Calibri"/>
      <family val="2"/>
      <scheme val="minor"/>
    </font>
    <font>
      <sz val="11"/>
      <color rgb="FF000000"/>
      <name val="Calibri"/>
      <charset val="1"/>
    </font>
    <font>
      <b/>
      <sz val="11"/>
      <color rgb="FF000000"/>
      <name val="Calibri"/>
      <family val="2"/>
      <scheme val="minor"/>
    </font>
    <font>
      <b/>
      <sz val="11"/>
      <color rgb="FF000000"/>
      <name val="Calibri"/>
      <charset val="1"/>
    </font>
  </fonts>
  <fills count="10">
    <fill>
      <patternFill patternType="none"/>
    </fill>
    <fill>
      <patternFill patternType="gray125"/>
    </fill>
    <fill>
      <patternFill patternType="solid">
        <fgColor rgb="FF1F4E79"/>
        <bgColor indexed="64"/>
      </patternFill>
    </fill>
    <fill>
      <patternFill patternType="solid">
        <fgColor rgb="FFFFFFFF"/>
        <bgColor indexed="64"/>
      </patternFill>
    </fill>
    <fill>
      <patternFill patternType="solid">
        <fgColor rgb="FFE6E0F8"/>
        <bgColor indexed="64"/>
      </patternFill>
    </fill>
    <fill>
      <patternFill patternType="solid">
        <fgColor rgb="FFDEEAF6"/>
        <bgColor indexed="64"/>
      </patternFill>
    </fill>
    <fill>
      <patternFill patternType="solid">
        <fgColor rgb="FFD6DCE4"/>
        <bgColor indexed="64"/>
      </patternFill>
    </fill>
    <fill>
      <patternFill patternType="solid">
        <fgColor rgb="FF2E75B6"/>
        <bgColor indexed="64"/>
      </patternFill>
    </fill>
    <fill>
      <patternFill patternType="solid">
        <fgColor rgb="FF7030A0"/>
        <bgColor indexed="64"/>
      </patternFill>
    </fill>
    <fill>
      <patternFill patternType="solid">
        <fgColor rgb="FFF2F2F2"/>
        <bgColor indexed="64"/>
      </patternFill>
    </fill>
  </fills>
  <borders count="17">
    <border>
      <left/>
      <right/>
      <top/>
      <bottom/>
      <diagonal/>
    </border>
    <border>
      <left style="medium">
        <color rgb="FF1F4E79"/>
      </left>
      <right style="thin">
        <color rgb="FF9DC3E6"/>
      </right>
      <top style="medium">
        <color rgb="FF1F4E79"/>
      </top>
      <bottom style="thin">
        <color rgb="FF9DC3E6"/>
      </bottom>
      <diagonal/>
    </border>
    <border>
      <left style="thin">
        <color rgb="FF9DC3E6"/>
      </left>
      <right style="thin">
        <color rgb="FF9DC3E6"/>
      </right>
      <top style="medium">
        <color rgb="FF1F4E79"/>
      </top>
      <bottom style="thin">
        <color rgb="FF9DC3E6"/>
      </bottom>
      <diagonal/>
    </border>
    <border>
      <left style="thin">
        <color rgb="FF9DC3E6"/>
      </left>
      <right style="medium">
        <color rgb="FF1F4E79"/>
      </right>
      <top style="medium">
        <color rgb="FF1F4E79"/>
      </top>
      <bottom style="thin">
        <color rgb="FF9DC3E6"/>
      </bottom>
      <diagonal/>
    </border>
    <border>
      <left style="medium">
        <color rgb="FF1F4E79"/>
      </left>
      <right style="thin">
        <color rgb="FF9DC3E6"/>
      </right>
      <top style="thin">
        <color rgb="FF9DC3E6"/>
      </top>
      <bottom style="thin">
        <color rgb="FF9DC3E6"/>
      </bottom>
      <diagonal/>
    </border>
    <border>
      <left style="thin">
        <color rgb="FF9DC3E6"/>
      </left>
      <right style="thin">
        <color rgb="FF9DC3E6"/>
      </right>
      <top style="thin">
        <color rgb="FF9DC3E6"/>
      </top>
      <bottom style="thin">
        <color rgb="FF9DC3E6"/>
      </bottom>
      <diagonal/>
    </border>
    <border>
      <left style="thin">
        <color rgb="FF9DC3E6"/>
      </left>
      <right style="medium">
        <color rgb="FF1F4E79"/>
      </right>
      <top style="thin">
        <color rgb="FF9DC3E6"/>
      </top>
      <bottom style="thin">
        <color rgb="FF9DC3E6"/>
      </bottom>
      <diagonal/>
    </border>
    <border>
      <left style="medium">
        <color rgb="FF1F4E79"/>
      </left>
      <right style="thin">
        <color rgb="FF9DC3E6"/>
      </right>
      <top style="thin">
        <color rgb="FF9DC3E6"/>
      </top>
      <bottom style="medium">
        <color rgb="FF1F4E79"/>
      </bottom>
      <diagonal/>
    </border>
    <border>
      <left style="thin">
        <color rgb="FF9DC3E6"/>
      </left>
      <right style="thin">
        <color rgb="FF9DC3E6"/>
      </right>
      <top style="thin">
        <color rgb="FF9DC3E6"/>
      </top>
      <bottom style="medium">
        <color rgb="FF1F4E79"/>
      </bottom>
      <diagonal/>
    </border>
    <border>
      <left style="thin">
        <color rgb="FF9DC3E6"/>
      </left>
      <right style="medium">
        <color rgb="FF1F4E79"/>
      </right>
      <top style="thin">
        <color rgb="FF9DC3E6"/>
      </top>
      <bottom style="medium">
        <color rgb="FF1F4E79"/>
      </bottom>
      <diagonal/>
    </border>
    <border>
      <left/>
      <right style="thin">
        <color rgb="FF9DC3E6"/>
      </right>
      <top style="medium">
        <color rgb="FF1F4E79"/>
      </top>
      <bottom style="thin">
        <color rgb="FF9DC3E6"/>
      </bottom>
      <diagonal/>
    </border>
    <border>
      <left style="thin">
        <color rgb="FF9DC3E6"/>
      </left>
      <right/>
      <top style="medium">
        <color rgb="FF1F4E79"/>
      </top>
      <bottom style="thin">
        <color rgb="FF9DC3E6"/>
      </bottom>
      <diagonal/>
    </border>
    <border>
      <left style="medium">
        <color rgb="FF1F4E79"/>
      </left>
      <right/>
      <top/>
      <bottom/>
      <diagonal/>
    </border>
    <border>
      <left/>
      <right style="medium">
        <color rgb="FF1F4E79"/>
      </right>
      <top style="medium">
        <color rgb="FF1F4E79"/>
      </top>
      <bottom/>
      <diagonal/>
    </border>
    <border>
      <left/>
      <right style="medium">
        <color rgb="FF1F4E79"/>
      </right>
      <top/>
      <bottom/>
      <diagonal/>
    </border>
    <border>
      <left style="thin">
        <color rgb="FF9DC3E6"/>
      </left>
      <right/>
      <top style="thin">
        <color rgb="FF9DC3E6"/>
      </top>
      <bottom style="thin">
        <color rgb="FF9DC3E6"/>
      </bottom>
      <diagonal/>
    </border>
    <border>
      <left/>
      <right style="thin">
        <color rgb="FF9DC3E6"/>
      </right>
      <top style="thin">
        <color rgb="FF9DC3E6"/>
      </top>
      <bottom style="thin">
        <color rgb="FF9DC3E6"/>
      </bottom>
      <diagonal/>
    </border>
  </borders>
  <cellStyleXfs count="2">
    <xf numFmtId="0" fontId="0" fillId="0" borderId="0"/>
    <xf numFmtId="0" fontId="19" fillId="0" borderId="0" applyNumberFormat="0" applyFill="0" applyBorder="0" applyAlignment="0" applyProtection="0"/>
  </cellStyleXfs>
  <cellXfs count="93">
    <xf numFmtId="0" fontId="0" fillId="0" borderId="0" xfId="0"/>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0" fontId="0" fillId="5" borderId="5" xfId="0" applyFill="1" applyBorder="1" applyAlignment="1">
      <alignment horizontal="left" vertical="top" wrapText="1"/>
    </xf>
    <xf numFmtId="0" fontId="0" fillId="5" borderId="6" xfId="0" applyFill="1" applyBorder="1" applyAlignment="1">
      <alignment horizontal="left" vertical="top" wrapText="1"/>
    </xf>
    <xf numFmtId="0" fontId="0" fillId="5" borderId="8" xfId="0" applyFill="1" applyBorder="1" applyAlignment="1">
      <alignment horizontal="left" vertical="top" wrapText="1"/>
    </xf>
    <xf numFmtId="0" fontId="0" fillId="5" borderId="9" xfId="0" applyFill="1" applyBorder="1" applyAlignment="1">
      <alignment horizontal="left" vertical="top" wrapText="1"/>
    </xf>
    <xf numFmtId="0" fontId="6" fillId="4" borderId="5" xfId="0" applyFont="1" applyFill="1" applyBorder="1" applyAlignment="1">
      <alignment horizontal="center" vertical="top" wrapText="1"/>
    </xf>
    <xf numFmtId="0" fontId="5" fillId="3" borderId="5" xfId="0" applyFont="1" applyFill="1" applyBorder="1" applyAlignment="1">
      <alignment horizontal="center" vertical="top" wrapText="1"/>
    </xf>
    <xf numFmtId="0" fontId="5" fillId="5" borderId="5" xfId="0" applyFont="1" applyFill="1" applyBorder="1" applyAlignment="1">
      <alignment horizontal="center" vertical="top" wrapText="1"/>
    </xf>
    <xf numFmtId="0" fontId="5" fillId="5" borderId="8" xfId="0" applyFont="1" applyFill="1" applyBorder="1" applyAlignment="1">
      <alignment horizontal="center" vertical="top" wrapText="1"/>
    </xf>
    <xf numFmtId="0" fontId="7" fillId="4" borderId="5"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5" borderId="8" xfId="0" applyFont="1" applyFill="1" applyBorder="1" applyAlignment="1">
      <alignment horizontal="left" vertical="top" wrapText="1"/>
    </xf>
    <xf numFmtId="0" fontId="9" fillId="4" borderId="5" xfId="0" applyFont="1" applyFill="1" applyBorder="1" applyAlignment="1">
      <alignment horizontal="left" vertical="top" wrapText="1"/>
    </xf>
    <xf numFmtId="0" fontId="8" fillId="3" borderId="5" xfId="0" applyFont="1" applyFill="1" applyBorder="1" applyAlignment="1">
      <alignment horizontal="left" vertical="top" wrapText="1"/>
    </xf>
    <xf numFmtId="0" fontId="8" fillId="5" borderId="5" xfId="0" applyFont="1" applyFill="1" applyBorder="1" applyAlignment="1">
      <alignment horizontal="left" vertical="top" wrapText="1"/>
    </xf>
    <xf numFmtId="0" fontId="8" fillId="5" borderId="8" xfId="0" applyFont="1" applyFill="1" applyBorder="1" applyAlignment="1">
      <alignment horizontal="left" vertical="top" wrapText="1"/>
    </xf>
    <xf numFmtId="0" fontId="7" fillId="4" borderId="4"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7" xfId="0" applyFont="1" applyFill="1" applyBorder="1" applyAlignment="1">
      <alignment horizontal="left" vertical="top" wrapText="1"/>
    </xf>
    <xf numFmtId="0" fontId="11" fillId="4" borderId="5" xfId="0" applyFont="1" applyFill="1" applyBorder="1" applyAlignment="1">
      <alignment horizontal="center" vertical="top"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vertical="center"/>
    </xf>
    <xf numFmtId="9" fontId="0" fillId="0" borderId="5" xfId="0" applyNumberFormat="1" applyBorder="1" applyAlignment="1">
      <alignment horizontal="center" vertical="center"/>
    </xf>
    <xf numFmtId="0" fontId="0" fillId="0" borderId="6" xfId="0" applyBorder="1" applyAlignment="1">
      <alignment horizontal="left" vertical="center"/>
    </xf>
    <xf numFmtId="0" fontId="1" fillId="2" borderId="11" xfId="0" applyFont="1" applyFill="1" applyBorder="1" applyAlignment="1">
      <alignment horizontal="center" vertical="center" wrapText="1"/>
    </xf>
    <xf numFmtId="0" fontId="12" fillId="7" borderId="15" xfId="0" applyFont="1" applyFill="1" applyBorder="1" applyAlignment="1">
      <alignment horizontal="center" vertical="center" wrapText="1"/>
    </xf>
    <xf numFmtId="0" fontId="0" fillId="0" borderId="15" xfId="0" applyBorder="1" applyAlignment="1">
      <alignment horizontal="left" vertical="center"/>
    </xf>
    <xf numFmtId="0" fontId="1" fillId="2" borderId="10" xfId="0" applyFont="1" applyFill="1" applyBorder="1" applyAlignment="1">
      <alignment horizontal="center" vertical="center" wrapText="1"/>
    </xf>
    <xf numFmtId="0" fontId="12" fillId="7" borderId="16" xfId="0" applyFont="1" applyFill="1" applyBorder="1" applyAlignment="1">
      <alignment horizontal="center" vertical="center" wrapText="1"/>
    </xf>
    <xf numFmtId="0" fontId="0" fillId="0" borderId="16" xfId="0" applyBorder="1" applyAlignment="1">
      <alignment horizontal="center" vertical="center"/>
    </xf>
    <xf numFmtId="164" fontId="0" fillId="0" borderId="6" xfId="0" applyNumberFormat="1" applyBorder="1" applyAlignment="1">
      <alignment horizontal="center" vertical="center"/>
    </xf>
    <xf numFmtId="0" fontId="1" fillId="8" borderId="11" xfId="0" applyFont="1" applyFill="1" applyBorder="1" applyAlignment="1">
      <alignment horizontal="center" vertical="center" wrapText="1"/>
    </xf>
    <xf numFmtId="0" fontId="12" fillId="8" borderId="15" xfId="0" applyFont="1" applyFill="1" applyBorder="1" applyAlignment="1">
      <alignment horizontal="center" vertical="center" wrapText="1"/>
    </xf>
    <xf numFmtId="0" fontId="0" fillId="0" borderId="15" xfId="0" applyBorder="1" applyAlignment="1">
      <alignment horizontal="center" vertical="center"/>
    </xf>
    <xf numFmtId="0" fontId="1" fillId="8" borderId="3"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0" fillId="0" borderId="6" xfId="0" applyBorder="1" applyAlignment="1">
      <alignment horizontal="center" vertical="center"/>
    </xf>
    <xf numFmtId="0" fontId="4" fillId="0" borderId="0" xfId="0" applyFont="1"/>
    <xf numFmtId="0" fontId="13" fillId="0" borderId="0" xfId="0" applyFont="1"/>
    <xf numFmtId="0" fontId="14" fillId="0" borderId="0" xfId="0" applyFont="1"/>
    <xf numFmtId="0" fontId="15" fillId="0" borderId="0" xfId="0" applyFont="1"/>
    <xf numFmtId="0" fontId="0" fillId="9" borderId="5" xfId="0" applyFill="1" applyBorder="1" applyAlignment="1">
      <alignment horizontal="left" vertical="center"/>
    </xf>
    <xf numFmtId="0" fontId="0" fillId="9" borderId="15" xfId="0" applyFill="1" applyBorder="1" applyAlignment="1">
      <alignment horizontal="left" vertical="center"/>
    </xf>
    <xf numFmtId="164" fontId="0" fillId="9" borderId="6" xfId="0" applyNumberFormat="1" applyFill="1" applyBorder="1" applyAlignment="1">
      <alignment horizontal="center" vertical="center"/>
    </xf>
    <xf numFmtId="0" fontId="0" fillId="9" borderId="16" xfId="0" applyFill="1" applyBorder="1" applyAlignment="1">
      <alignment horizontal="center" vertical="center"/>
    </xf>
    <xf numFmtId="0" fontId="0" fillId="9" borderId="5" xfId="0" applyFill="1" applyBorder="1" applyAlignment="1">
      <alignment horizontal="center" vertical="center"/>
    </xf>
    <xf numFmtId="0" fontId="0" fillId="9" borderId="15" xfId="0" applyFill="1" applyBorder="1" applyAlignment="1">
      <alignment horizontal="center" vertical="center"/>
    </xf>
    <xf numFmtId="0" fontId="0" fillId="9" borderId="6" xfId="0" applyFill="1" applyBorder="1" applyAlignment="1">
      <alignment horizontal="center" vertical="center"/>
    </xf>
    <xf numFmtId="9" fontId="0" fillId="9" borderId="5" xfId="0" applyNumberFormat="1" applyFill="1" applyBorder="1" applyAlignment="1">
      <alignment horizontal="center" vertical="center"/>
    </xf>
    <xf numFmtId="0" fontId="0" fillId="9" borderId="6" xfId="0" applyFill="1" applyBorder="1" applyAlignment="1">
      <alignment horizontal="left" vertical="center"/>
    </xf>
    <xf numFmtId="0" fontId="2" fillId="2" borderId="0" xfId="0" applyFont="1" applyFill="1" applyAlignment="1">
      <alignment horizontal="center" vertical="center" wrapText="1"/>
    </xf>
    <xf numFmtId="0" fontId="4" fillId="3" borderId="0" xfId="0" applyFont="1" applyFill="1" applyAlignment="1">
      <alignment horizontal="center" vertical="top" wrapText="1"/>
    </xf>
    <xf numFmtId="0" fontId="7" fillId="4" borderId="0" xfId="0" applyFont="1" applyFill="1" applyAlignment="1">
      <alignment horizontal="center" vertical="top" wrapText="1"/>
    </xf>
    <xf numFmtId="0" fontId="4" fillId="5" borderId="0" xfId="0" applyFont="1" applyFill="1" applyAlignment="1">
      <alignment horizontal="center" vertical="top" wrapText="1"/>
    </xf>
    <xf numFmtId="0" fontId="16" fillId="3" borderId="0" xfId="0" applyFont="1" applyFill="1" applyAlignment="1">
      <alignment horizontal="center" vertical="top" wrapText="1"/>
    </xf>
    <xf numFmtId="0" fontId="17" fillId="4" borderId="0" xfId="0" applyFont="1" applyFill="1" applyAlignment="1">
      <alignment horizontal="center" vertical="top" wrapText="1"/>
    </xf>
    <xf numFmtId="0" fontId="16" fillId="5" borderId="0" xfId="0" applyFont="1" applyFill="1" applyAlignment="1">
      <alignment horizontal="center" vertical="top" wrapText="1"/>
    </xf>
    <xf numFmtId="0" fontId="18" fillId="0" borderId="0" xfId="0" applyFont="1"/>
    <xf numFmtId="0" fontId="1" fillId="2" borderId="13" xfId="0" applyFont="1" applyFill="1" applyBorder="1" applyAlignment="1">
      <alignment horizontal="center"/>
    </xf>
    <xf numFmtId="0" fontId="12" fillId="7" borderId="14" xfId="0" applyFont="1" applyFill="1" applyBorder="1" applyAlignment="1">
      <alignment horizontal="center"/>
    </xf>
    <xf numFmtId="9" fontId="0" fillId="0" borderId="14" xfId="0" applyNumberFormat="1" applyBorder="1" applyAlignment="1">
      <alignment horizontal="center" vertical="center"/>
    </xf>
    <xf numFmtId="9" fontId="0" fillId="9" borderId="14" xfId="0" applyNumberFormat="1" applyFill="1" applyBorder="1" applyAlignment="1">
      <alignment horizontal="center" vertical="center"/>
    </xf>
    <xf numFmtId="0" fontId="19" fillId="0" borderId="15" xfId="1" applyBorder="1" applyAlignment="1">
      <alignment horizontal="left" vertical="center"/>
    </xf>
    <xf numFmtId="0" fontId="19" fillId="9" borderId="15" xfId="1" applyFill="1" applyBorder="1" applyAlignment="1">
      <alignment horizontal="left" vertical="center"/>
    </xf>
    <xf numFmtId="0" fontId="20" fillId="0" borderId="0" xfId="0" applyFont="1"/>
    <xf numFmtId="0" fontId="19" fillId="0" borderId="0" xfId="1"/>
    <xf numFmtId="0" fontId="21" fillId="3" borderId="5"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21" fillId="5" borderId="5" xfId="0" applyFont="1" applyFill="1" applyBorder="1" applyAlignment="1">
      <alignment horizontal="left" vertical="center" wrapText="1"/>
    </xf>
    <xf numFmtId="0" fontId="21" fillId="5" borderId="8" xfId="0" applyFont="1" applyFill="1" applyBorder="1" applyAlignment="1">
      <alignment horizontal="left" vertical="center" wrapText="1"/>
    </xf>
    <xf numFmtId="0" fontId="22" fillId="0" borderId="0" xfId="0" applyFont="1"/>
    <xf numFmtId="0" fontId="19" fillId="0" borderId="15" xfId="1" applyBorder="1" applyAlignment="1">
      <alignment horizontal="left" vertical="center" wrapText="1"/>
    </xf>
    <xf numFmtId="0" fontId="10" fillId="6" borderId="0" xfId="0" applyFont="1" applyFill="1" applyAlignment="1">
      <alignment horizontal="center" vertical="center"/>
    </xf>
    <xf numFmtId="0" fontId="10" fillId="6" borderId="12" xfId="0" applyFont="1" applyFill="1" applyBorder="1" applyAlignment="1">
      <alignment horizontal="center" vertical="center"/>
    </xf>
    <xf numFmtId="0" fontId="0" fillId="0" borderId="0" xfId="0" applyAlignment="1"/>
  </cellXfs>
  <cellStyles count="2">
    <cellStyle name="Hyperlink" xfId="1" builtinId="8"/>
    <cellStyle name="Normal" xfId="0" builtinId="0"/>
  </cellStyles>
  <dxfs count="9">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7030A0"/>
      </font>
      <fill>
        <patternFill patternType="solid">
          <fgColor indexed="64"/>
          <bgColor rgb="FFE6E0F8"/>
        </patternFill>
      </fill>
    </dxf>
    <dxf>
      <font>
        <color rgb="FF666666"/>
      </font>
      <fill>
        <patternFill patternType="solid">
          <fgColor indexed="64"/>
          <bgColor rgb="FFF2F2F2"/>
        </patternFill>
      </fill>
    </dxf>
    <dxf>
      <font>
        <color rgb="FF9C5700"/>
      </font>
      <fill>
        <patternFill patternType="solid">
          <fgColor indexed="64"/>
          <bgColor rgb="FFFFEB9C"/>
        </patternFill>
      </fill>
    </dxf>
    <dxf>
      <font>
        <color rgb="FF1F4E79"/>
      </font>
      <fill>
        <patternFill patternType="solid">
          <fgColor indexed="64"/>
          <bgColor rgb="FFDEEAF6"/>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nikhil.deshmukh@taazaa.com" TargetMode="External"/><Relationship Id="rId13" Type="http://schemas.openxmlformats.org/officeDocument/2006/relationships/hyperlink" Target="mailto:amrendra.raj@taazaa.com" TargetMode="External"/><Relationship Id="rId18" Type="http://schemas.openxmlformats.org/officeDocument/2006/relationships/hyperlink" Target="mailto:om.menkudale@taazaa.com" TargetMode="External"/><Relationship Id="rId3" Type="http://schemas.openxmlformats.org/officeDocument/2006/relationships/hyperlink" Target="mailto:aishwarya.thakur@taazaa.com" TargetMode="External"/><Relationship Id="rId7" Type="http://schemas.openxmlformats.org/officeDocument/2006/relationships/hyperlink" Target="mailto:vaishnavi.kurhade@taazaa.com" TargetMode="External"/><Relationship Id="rId12" Type="http://schemas.openxmlformats.org/officeDocument/2006/relationships/hyperlink" Target="mailto:jyoti.kumari@taazaa.com" TargetMode="External"/><Relationship Id="rId17" Type="http://schemas.openxmlformats.org/officeDocument/2006/relationships/hyperlink" Target="mailto:purnima.gautam@taazaa.com" TargetMode="External"/><Relationship Id="rId2" Type="http://schemas.openxmlformats.org/officeDocument/2006/relationships/hyperlink" Target="mailto:viraj.mandavkar@taazaa.com" TargetMode="External"/><Relationship Id="rId16" Type="http://schemas.openxmlformats.org/officeDocument/2006/relationships/hyperlink" Target="mailto:abhishek.kumbhar@taazaa.com" TargetMode="External"/><Relationship Id="rId20" Type="http://schemas.openxmlformats.org/officeDocument/2006/relationships/hyperlink" Target="mailto:vikas.shukla@taazaa.com" TargetMode="External"/><Relationship Id="rId1" Type="http://schemas.openxmlformats.org/officeDocument/2006/relationships/hyperlink" Target="mailto:utkarsh.neb@taazaa.com" TargetMode="External"/><Relationship Id="rId6" Type="http://schemas.openxmlformats.org/officeDocument/2006/relationships/hyperlink" Target="mailto:akshay.choudhari@taazaa.com" TargetMode="External"/><Relationship Id="rId11" Type="http://schemas.openxmlformats.org/officeDocument/2006/relationships/hyperlink" Target="mailto:sumit.dhage@taazaa.com" TargetMode="External"/><Relationship Id="rId5" Type="http://schemas.openxmlformats.org/officeDocument/2006/relationships/hyperlink" Target="mailto:debasish.sahoo@taazaa.com" TargetMode="External"/><Relationship Id="rId15" Type="http://schemas.openxmlformats.org/officeDocument/2006/relationships/hyperlink" Target="mailto:deepali.bhatnagar@taazaa.com" TargetMode="External"/><Relationship Id="rId10" Type="http://schemas.openxmlformats.org/officeDocument/2006/relationships/hyperlink" Target="mailto:avinash.singh@taazaa.com" TargetMode="External"/><Relationship Id="rId19" Type="http://schemas.openxmlformats.org/officeDocument/2006/relationships/hyperlink" Target="mailto:shubham.saraswat@taazaa.com" TargetMode="External"/><Relationship Id="rId4" Type="http://schemas.openxmlformats.org/officeDocument/2006/relationships/hyperlink" Target="mailto:shilpa.mattoo@taazaa.com" TargetMode="External"/><Relationship Id="rId9" Type="http://schemas.openxmlformats.org/officeDocument/2006/relationships/hyperlink" Target="mailto:awanti.mahadik@taazaa.com" TargetMode="External"/><Relationship Id="rId14" Type="http://schemas.openxmlformats.org/officeDocument/2006/relationships/hyperlink" Target="mailto:anas.javed@taaza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showGridLines="0" tabSelected="1" workbookViewId="0">
      <pane ySplit="2" topLeftCell="B3" activePane="bottomLeft" state="frozen"/>
      <selection pane="bottomLeft" activeCell="G2" sqref="G2"/>
    </sheetView>
  </sheetViews>
  <sheetFormatPr defaultRowHeight="15"/>
  <cols>
    <col min="1" max="1" width="21" customWidth="1"/>
    <col min="2" max="2" width="30.42578125" customWidth="1"/>
    <col min="3" max="3" width="17.140625" customWidth="1"/>
    <col min="4" max="4" width="34.28515625" customWidth="1"/>
    <col min="5" max="5" width="41.85546875" customWidth="1"/>
    <col min="6" max="6" width="24.7109375" customWidth="1"/>
    <col min="7" max="7" width="61" customWidth="1"/>
    <col min="8" max="8" width="80" customWidth="1"/>
    <col min="9" max="9" width="19" customWidth="1"/>
    <col min="10" max="10" width="53.28515625" customWidth="1"/>
  </cols>
  <sheetData>
    <row r="1" spans="1:10" ht="45" customHeight="1">
      <c r="A1" s="91" t="s">
        <v>0</v>
      </c>
      <c r="B1" s="90"/>
      <c r="C1" s="90"/>
      <c r="D1" s="90"/>
      <c r="E1" s="90"/>
      <c r="F1" s="90"/>
      <c r="G1" s="90"/>
      <c r="H1" s="90"/>
      <c r="I1" s="90"/>
      <c r="J1" s="90"/>
    </row>
    <row r="2" spans="1:10" ht="39.75" customHeight="1">
      <c r="A2" s="26" t="s">
        <v>1</v>
      </c>
      <c r="B2" s="27" t="s">
        <v>2</v>
      </c>
      <c r="C2" s="27" t="s">
        <v>3</v>
      </c>
      <c r="D2" s="27" t="s">
        <v>4</v>
      </c>
      <c r="E2" s="27" t="s">
        <v>5</v>
      </c>
      <c r="F2" s="27" t="s">
        <v>6</v>
      </c>
      <c r="G2" s="27" t="s">
        <v>7</v>
      </c>
      <c r="H2" s="28" t="s">
        <v>8</v>
      </c>
      <c r="I2" s="68" t="s">
        <v>9</v>
      </c>
      <c r="J2" s="68" t="s">
        <v>10</v>
      </c>
    </row>
    <row r="3" spans="1:10" ht="106.5">
      <c r="A3" s="22" t="s">
        <v>11</v>
      </c>
      <c r="B3" s="1" t="s">
        <v>12</v>
      </c>
      <c r="C3" s="10" t="s">
        <v>13</v>
      </c>
      <c r="D3" s="18" t="s">
        <v>14</v>
      </c>
      <c r="E3" s="14" t="s">
        <v>15</v>
      </c>
      <c r="F3" s="84" t="s">
        <v>16</v>
      </c>
      <c r="G3" s="1" t="s">
        <v>17</v>
      </c>
      <c r="H3" s="2" t="s">
        <v>18</v>
      </c>
      <c r="I3" s="69" t="str">
        <f ca="1">IF(OR(C3="Optional",ISNUMBER(SEARCH("Self-paced",B3))),"📘 Self-paced",IF(B3="","",_xlfn.LET(_xlpm.cleanDate,TRIM(MID(B3,FIND(",",B3)+1,100)),_xlpm.dateVal,DATEVALUE(_xlpm.cleanDate),IF(_xlpm.dateVal&gt;TODAY(),"🔵 Upcoming",IF(_xlpm.dateVal=TODAY(),"🟡 TODAY","⚪ Pending")))))</f>
        <v>🟡 TODAY</v>
      </c>
      <c r="J3" s="72" t="str">
        <f>IF(C3="Optional","(Self-paced - no invite needed)",CONCATENATE("📌 ",E3," | ",B3," | ",D3," | Trainer: ",F3))</f>
        <v>📌 Environment Setup &amp; First Line of Code | Wed, Jul 29, 2026 | Module 1: JS Fundamentals | Trainer: Vishal Tyagi</v>
      </c>
    </row>
    <row r="4" spans="1:10" ht="106.5">
      <c r="A4" s="21" t="s">
        <v>19</v>
      </c>
      <c r="B4" s="3" t="s">
        <v>20</v>
      </c>
      <c r="C4" s="9" t="s">
        <v>21</v>
      </c>
      <c r="D4" s="17" t="s">
        <v>22</v>
      </c>
      <c r="E4" s="13" t="s">
        <v>23</v>
      </c>
      <c r="F4" s="85" t="s">
        <v>24</v>
      </c>
      <c r="G4" s="3" t="s">
        <v>25</v>
      </c>
      <c r="H4" s="4" t="s">
        <v>26</v>
      </c>
      <c r="I4" s="70" t="str">
        <f ca="1">IF(OR(C4="Optional",ISNUMBER(SEARCH("Self-paced",B4))),"📘 Self-paced",IF(B4="","",_xlfn.LET(_xlpm.cleanDate,TRIM(MID(B4,FIND(",",B4)+1,100)),_xlpm.dateVal,DATEVALUE(_xlpm.cleanDate),IF(_xlpm.dateVal&gt;TODAY(),"🔵 Upcoming",IF(_xlpm.dateVal=TODAY(),"🟡 TODAY","⚪ Pending")))))</f>
        <v>📘 Self-paced</v>
      </c>
      <c r="J4" s="73" t="str">
        <f>IF(C4="Optional","(Self-paced - no invite needed)",CONCATENATE("📌 ",E4," | ",B4," | ",D4," | Trainer: ",F4))</f>
        <v>(Self-paced - no invite needed)</v>
      </c>
    </row>
    <row r="5" spans="1:10" ht="121.5">
      <c r="A5" s="22" t="s">
        <v>27</v>
      </c>
      <c r="B5" s="1" t="s">
        <v>28</v>
      </c>
      <c r="C5" s="10" t="s">
        <v>13</v>
      </c>
      <c r="D5" s="18" t="s">
        <v>14</v>
      </c>
      <c r="E5" s="14" t="s">
        <v>29</v>
      </c>
      <c r="F5" s="86" t="s">
        <v>30</v>
      </c>
      <c r="G5" s="1" t="s">
        <v>31</v>
      </c>
      <c r="H5" s="2" t="s">
        <v>32</v>
      </c>
      <c r="I5" s="69" t="str">
        <f ca="1">IF(OR(C5="Optional",ISNUMBER(SEARCH("Self-paced",B5))),"📘 Self-paced",IF(B5="","",_xlfn.LET(_xlpm.cleanDate,TRIM(MID(B5,FIND(",",B5)+1,100)),_xlpm.dateVal,DATEVALUE(_xlpm.cleanDate),IF(_xlpm.dateVal&gt;TODAY(),"🔵 Upcoming",IF(_xlpm.dateVal=TODAY(),"🟡 TODAY","⚪ Pending")))))</f>
        <v>🔵 Upcoming</v>
      </c>
      <c r="J5" s="72" t="str">
        <f>IF(C5="Optional","(Self-paced - no invite needed)",CONCATENATE("📌 ",E5," | ",B5," | ",D5," | Trainer: ",F5))</f>
        <v>📌 Variables &amp; Basic Data Types | Wed, Aug 05, 2026 | Module 1: JS Fundamentals | Trainer: Tarun</v>
      </c>
    </row>
    <row r="6" spans="1:10" ht="106.5">
      <c r="A6" s="23" t="s">
        <v>33</v>
      </c>
      <c r="B6" s="5" t="s">
        <v>34</v>
      </c>
      <c r="C6" s="11" t="s">
        <v>13</v>
      </c>
      <c r="D6" s="19" t="s">
        <v>14</v>
      </c>
      <c r="E6" s="15" t="s">
        <v>35</v>
      </c>
      <c r="F6" s="84" t="s">
        <v>36</v>
      </c>
      <c r="G6" s="5" t="s">
        <v>37</v>
      </c>
      <c r="H6" s="6" t="s">
        <v>38</v>
      </c>
      <c r="I6" s="71" t="str">
        <f ca="1">IF(OR(C6="Optional",ISNUMBER(SEARCH("Self-paced",B6))),"📘 Self-paced",IF(B6="","",_xlfn.LET(_xlpm.cleanDate,TRIM(MID(B6,FIND(",",B6)+1,100)),_xlpm.dateVal,DATEVALUE(_xlpm.cleanDate),IF(_xlpm.dateVal&gt;TODAY(),"🔵 Upcoming",IF(_xlpm.dateVal=TODAY(),"🟡 TODAY","⚪ Pending")))))</f>
        <v>🔵 Upcoming</v>
      </c>
      <c r="J6" s="74" t="str">
        <f>IF(C6="Optional","(Self-paced - no invite needed)",CONCATENATE("📌 ",E6," | ",B6," | ",D6," | Trainer: ",F6))</f>
        <v>📌 Conditional Logic &amp; Operators | Wed, Aug 12, 2026 | Module 1: JS Fundamentals | Trainer: Aruneema</v>
      </c>
    </row>
    <row r="7" spans="1:10" ht="106.5">
      <c r="A7" s="22" t="s">
        <v>39</v>
      </c>
      <c r="B7" s="1" t="s">
        <v>40</v>
      </c>
      <c r="C7" s="10" t="s">
        <v>13</v>
      </c>
      <c r="D7" s="18" t="s">
        <v>14</v>
      </c>
      <c r="E7" s="14" t="s">
        <v>41</v>
      </c>
      <c r="F7" s="86" t="s">
        <v>42</v>
      </c>
      <c r="G7" s="1" t="s">
        <v>43</v>
      </c>
      <c r="H7" s="2" t="s">
        <v>44</v>
      </c>
      <c r="I7" s="69" t="str">
        <f ca="1">IF(OR(C7="Optional",ISNUMBER(SEARCH("Self-paced",B7))),"📘 Self-paced",IF(B7="","",_xlfn.LET(_xlpm.cleanDate,TRIM(MID(B7,FIND(",",B7)+1,100)),_xlpm.dateVal,DATEVALUE(_xlpm.cleanDate),IF(_xlpm.dateVal&gt;TODAY(),"🔵 Upcoming",IF(_xlpm.dateVal=TODAY(),"🟡 TODAY","⚪ Pending")))))</f>
        <v>🔵 Upcoming</v>
      </c>
      <c r="J7" s="72" t="str">
        <f>IF(C7="Optional","(Self-paced - no invite needed)",CONCATENATE("📌 ",E7," | ",B7," | ",D7," | Trainer: ",F7))</f>
        <v>📌 Functions &amp; Reusability | Wed, Aug 19, 2026 | Module 1: JS Fundamentals | Trainer: Prachi</v>
      </c>
    </row>
    <row r="8" spans="1:10" ht="106.5">
      <c r="A8" s="23" t="s">
        <v>45</v>
      </c>
      <c r="B8" s="5" t="s">
        <v>46</v>
      </c>
      <c r="C8" s="11" t="s">
        <v>13</v>
      </c>
      <c r="D8" s="19" t="s">
        <v>14</v>
      </c>
      <c r="E8" s="15" t="s">
        <v>47</v>
      </c>
      <c r="F8" s="84" t="s">
        <v>30</v>
      </c>
      <c r="G8" s="5" t="s">
        <v>48</v>
      </c>
      <c r="H8" s="6" t="s">
        <v>49</v>
      </c>
      <c r="I8" s="71" t="str">
        <f ca="1">IF(OR(C8="Optional",ISNUMBER(SEARCH("Self-paced",B8))),"📘 Self-paced",IF(B8="","",_xlfn.LET(_xlpm.cleanDate,TRIM(MID(B8,FIND(",",B8)+1,100)),_xlpm.dateVal,DATEVALUE(_xlpm.cleanDate),IF(_xlpm.dateVal&gt;TODAY(),"🔵 Upcoming",IF(_xlpm.dateVal=TODAY(),"🟡 TODAY","⚪ Pending")))))</f>
        <v>🔵 Upcoming</v>
      </c>
      <c r="J8" s="74" t="str">
        <f>IF(C8="Optional","(Self-paced - no invite needed)",CONCATENATE("📌 ",E8," | ",B8," | ",D8," | Trainer: ",F8))</f>
        <v>📌 Arrays &amp; Loops | Wed, Aug 26, 2026 | Module 1: JS Fundamentals | Trainer: Tarun</v>
      </c>
    </row>
    <row r="9" spans="1:10" ht="106.5">
      <c r="A9" s="21" t="s">
        <v>50</v>
      </c>
      <c r="B9" s="3" t="s">
        <v>51</v>
      </c>
      <c r="C9" s="9" t="s">
        <v>21</v>
      </c>
      <c r="D9" s="17" t="s">
        <v>22</v>
      </c>
      <c r="E9" s="13" t="s">
        <v>52</v>
      </c>
      <c r="F9" s="85" t="s">
        <v>24</v>
      </c>
      <c r="G9" s="3" t="s">
        <v>53</v>
      </c>
      <c r="H9" s="4" t="s">
        <v>54</v>
      </c>
      <c r="I9" s="70" t="str">
        <f ca="1">IF(OR(C9="Optional",ISNUMBER(SEARCH("Self-paced",B9))),"📘 Self-paced",IF(B9="","",_xlfn.LET(_xlpm.cleanDate,TRIM(MID(B9,FIND(",",B9)+1,100)),_xlpm.dateVal,DATEVALUE(_xlpm.cleanDate),IF(_xlpm.dateVal&gt;TODAY(),"🔵 Upcoming",IF(_xlpm.dateVal=TODAY(),"🟡 TODAY","⚪ Pending")))))</f>
        <v>📘 Self-paced</v>
      </c>
      <c r="J9" s="73" t="str">
        <f>IF(C9="Optional","(Self-paced - no invite needed)",CONCATENATE("📌 ",E9," | ",B9," | ",D9," | Trainer: ",F9))</f>
        <v>(Self-paced - no invite needed)</v>
      </c>
    </row>
    <row r="10" spans="1:10" ht="121.5">
      <c r="A10" s="23" t="s">
        <v>55</v>
      </c>
      <c r="B10" s="5" t="s">
        <v>56</v>
      </c>
      <c r="C10" s="11" t="s">
        <v>13</v>
      </c>
      <c r="D10" s="19" t="s">
        <v>14</v>
      </c>
      <c r="E10" s="15" t="s">
        <v>57</v>
      </c>
      <c r="F10" s="86" t="s">
        <v>42</v>
      </c>
      <c r="G10" s="5" t="s">
        <v>58</v>
      </c>
      <c r="H10" s="6" t="s">
        <v>59</v>
      </c>
      <c r="I10" s="71" t="str">
        <f ca="1">IF(OR(C10="Optional",ISNUMBER(SEARCH("Self-paced",B10))),"📘 Self-paced",IF(B10="","",_xlfn.LET(_xlpm.cleanDate,TRIM(MID(B10,FIND(",",B10)+1,100)),_xlpm.dateVal,DATEVALUE(_xlpm.cleanDate),IF(_xlpm.dateVal&gt;TODAY(),"🔵 Upcoming",IF(_xlpm.dateVal=TODAY(),"🟡 TODAY","⚪ Pending")))))</f>
        <v>🔵 Upcoming</v>
      </c>
      <c r="J10" s="74" t="str">
        <f>IF(C10="Optional","(Self-paced - no invite needed)",CONCATENATE("📌 ",E10," | ",B10," | ",D10," | Trainer: ",F10))</f>
        <v>📌 Async/Await &amp; Promises | Wed, Sep 02, 2026 | Module 1: JS Fundamentals | Trainer: Prachi</v>
      </c>
    </row>
    <row r="11" spans="1:10" ht="121.5">
      <c r="A11" s="22" t="s">
        <v>60</v>
      </c>
      <c r="B11" s="1" t="s">
        <v>61</v>
      </c>
      <c r="C11" s="10" t="s">
        <v>13</v>
      </c>
      <c r="D11" s="18" t="s">
        <v>62</v>
      </c>
      <c r="E11" s="14" t="s">
        <v>63</v>
      </c>
      <c r="F11" s="84" t="s">
        <v>64</v>
      </c>
      <c r="G11" s="1" t="s">
        <v>65</v>
      </c>
      <c r="H11" s="2" t="s">
        <v>66</v>
      </c>
      <c r="I11" s="69" t="str">
        <f ca="1">IF(OR(C11="Optional",ISNUMBER(SEARCH("Self-paced",B11))),"📘 Self-paced",IF(B11="","",_xlfn.LET(_xlpm.cleanDate,TRIM(MID(B11,FIND(",",B11)+1,100)),_xlpm.dateVal,DATEVALUE(_xlpm.cleanDate),IF(_xlpm.dateVal&gt;TODAY(),"🔵 Upcoming",IF(_xlpm.dateVal=TODAY(),"🟡 TODAY","⚪ Pending")))))</f>
        <v>🔵 Upcoming</v>
      </c>
      <c r="J11" s="72" t="str">
        <f>IF(C11="Optional","(Self-paced - no invite needed)",CONCATENATE("📌 ",E11," | ",B11," | ",D11," | Trainer: ",F11))</f>
        <v>📌 Playwright Setup &amp; CodeGen Intro | Wed, Sep 09, 2026 | Module 2: Playwright Core | Trainer: Hritik</v>
      </c>
    </row>
    <row r="12" spans="1:10" ht="121.5">
      <c r="A12" s="21" t="s">
        <v>67</v>
      </c>
      <c r="B12" s="3" t="s">
        <v>68</v>
      </c>
      <c r="C12" s="9" t="s">
        <v>21</v>
      </c>
      <c r="D12" s="17" t="s">
        <v>22</v>
      </c>
      <c r="E12" s="13" t="s">
        <v>69</v>
      </c>
      <c r="F12" s="85" t="s">
        <v>24</v>
      </c>
      <c r="G12" s="3" t="s">
        <v>70</v>
      </c>
      <c r="H12" s="4" t="s">
        <v>71</v>
      </c>
      <c r="I12" s="70" t="str">
        <f ca="1">IF(OR(C12="Optional",ISNUMBER(SEARCH("Self-paced",B12))),"📘 Self-paced",IF(B12="","",_xlfn.LET(_xlpm.cleanDate,TRIM(MID(B12,FIND(",",B12)+1,100)),_xlpm.dateVal,DATEVALUE(_xlpm.cleanDate),IF(_xlpm.dateVal&gt;TODAY(),"🔵 Upcoming",IF(_xlpm.dateVal=TODAY(),"🟡 TODAY","⚪ Pending")))))</f>
        <v>📘 Self-paced</v>
      </c>
      <c r="J12" s="73" t="str">
        <f>IF(C12="Optional","(Self-paced - no invite needed)",CONCATENATE("📌 ",E12," | ",B12," | ",D12," | Trainer: ",F12))</f>
        <v>(Self-paced - no invite needed)</v>
      </c>
    </row>
    <row r="13" spans="1:10" ht="121.5">
      <c r="A13" s="21" t="s">
        <v>72</v>
      </c>
      <c r="B13" s="3" t="s">
        <v>68</v>
      </c>
      <c r="C13" s="9" t="s">
        <v>21</v>
      </c>
      <c r="D13" s="17" t="s">
        <v>62</v>
      </c>
      <c r="E13" s="13" t="s">
        <v>73</v>
      </c>
      <c r="F13" s="85" t="s">
        <v>24</v>
      </c>
      <c r="G13" s="3" t="s">
        <v>74</v>
      </c>
      <c r="H13" s="4" t="s">
        <v>75</v>
      </c>
      <c r="I13" s="70" t="str">
        <f ca="1">IF(OR(C13="Optional",ISNUMBER(SEARCH("Self-paced",B13))),"📘 Self-paced",IF(B13="","",_xlfn.LET(_xlpm.cleanDate,TRIM(MID(B13,FIND(",",B13)+1,100)),_xlpm.dateVal,DATEVALUE(_xlpm.cleanDate),IF(_xlpm.dateVal&gt;TODAY(),"🔵 Upcoming",IF(_xlpm.dateVal=TODAY(),"🟡 TODAY","⚪ Pending")))))</f>
        <v>📘 Self-paced</v>
      </c>
      <c r="J13" s="73" t="str">
        <f>IF(C13="Optional","(Self-paced - no invite needed)",CONCATENATE("📌 ",E13," | ",B13," | ",D13," | Trainer: ",F13))</f>
        <v>(Self-paced - no invite needed)</v>
      </c>
    </row>
    <row r="14" spans="1:10" ht="121.5">
      <c r="A14" s="21" t="s">
        <v>76</v>
      </c>
      <c r="B14" s="3" t="s">
        <v>68</v>
      </c>
      <c r="C14" s="9" t="s">
        <v>21</v>
      </c>
      <c r="D14" s="17" t="s">
        <v>62</v>
      </c>
      <c r="E14" s="13" t="s">
        <v>77</v>
      </c>
      <c r="F14" s="85" t="s">
        <v>24</v>
      </c>
      <c r="G14" s="3" t="s">
        <v>78</v>
      </c>
      <c r="H14" s="4" t="s">
        <v>79</v>
      </c>
      <c r="I14" s="70" t="str">
        <f ca="1">IF(OR(C14="Optional",ISNUMBER(SEARCH("Self-paced",B14))),"📘 Self-paced",IF(B14="","",_xlfn.LET(_xlpm.cleanDate,TRIM(MID(B14,FIND(",",B14)+1,100)),_xlpm.dateVal,DATEVALUE(_xlpm.cleanDate),IF(_xlpm.dateVal&gt;TODAY(),"🔵 Upcoming",IF(_xlpm.dateVal=TODAY(),"🟡 TODAY","⚪ Pending")))))</f>
        <v>📘 Self-paced</v>
      </c>
      <c r="J14" s="73" t="str">
        <f>IF(C14="Optional","(Self-paced - no invite needed)",CONCATENATE("📌 ",E14," | ",B14," | ",D14," | Trainer: ",F14))</f>
        <v>(Self-paced - no invite needed)</v>
      </c>
    </row>
    <row r="15" spans="1:10" ht="121.5">
      <c r="A15" s="22" t="s">
        <v>80</v>
      </c>
      <c r="B15" s="1" t="s">
        <v>81</v>
      </c>
      <c r="C15" s="10" t="s">
        <v>13</v>
      </c>
      <c r="D15" s="18" t="s">
        <v>62</v>
      </c>
      <c r="E15" s="14" t="s">
        <v>82</v>
      </c>
      <c r="F15" s="86" t="s">
        <v>16</v>
      </c>
      <c r="G15" s="1" t="s">
        <v>83</v>
      </c>
      <c r="H15" s="2" t="s">
        <v>84</v>
      </c>
      <c r="I15" s="69" t="str">
        <f ca="1">IF(OR(C15="Optional",ISNUMBER(SEARCH("Self-paced",B15))),"📘 Self-paced",IF(B15="","",_xlfn.LET(_xlpm.cleanDate,TRIM(MID(B15,FIND(",",B15)+1,100)),_xlpm.dateVal,DATEVALUE(_xlpm.cleanDate),IF(_xlpm.dateVal&gt;TODAY(),"🔵 Upcoming",IF(_xlpm.dateVal=TODAY(),"🟡 TODAY","⚪ Pending")))))</f>
        <v>🔵 Upcoming</v>
      </c>
      <c r="J15" s="72" t="str">
        <f>IF(C15="Optional","(Self-paced - no invite needed)",CONCATENATE("📌 ",E15," | ",B15," | ",D15," | Trainer: ",F15))</f>
        <v>📌 Locators &amp; Page Interactions | Wed, Sep 16, 2026 | Module 2: Playwright Core | Trainer: Vishal Tyagi</v>
      </c>
    </row>
    <row r="16" spans="1:10" ht="121.5">
      <c r="A16" s="23" t="s">
        <v>85</v>
      </c>
      <c r="B16" s="5" t="s">
        <v>86</v>
      </c>
      <c r="C16" s="11" t="s">
        <v>13</v>
      </c>
      <c r="D16" s="19" t="s">
        <v>62</v>
      </c>
      <c r="E16" s="15" t="s">
        <v>87</v>
      </c>
      <c r="F16" s="84" t="s">
        <v>30</v>
      </c>
      <c r="G16" s="5" t="s">
        <v>88</v>
      </c>
      <c r="H16" s="6" t="s">
        <v>89</v>
      </c>
      <c r="I16" s="71" t="str">
        <f ca="1">IF(OR(C16="Optional",ISNUMBER(SEARCH("Self-paced",B16))),"📘 Self-paced",IF(B16="","",_xlfn.LET(_xlpm.cleanDate,TRIM(MID(B16,FIND(",",B16)+1,100)),_xlpm.dateVal,DATEVALUE(_xlpm.cleanDate),IF(_xlpm.dateVal&gt;TODAY(),"🔵 Upcoming",IF(_xlpm.dateVal=TODAY(),"🟡 TODAY","⚪ Pending")))))</f>
        <v>🔵 Upcoming</v>
      </c>
      <c r="J16" s="74" t="str">
        <f>IF(C16="Optional","(Self-paced - no invite needed)",CONCATENATE("📌 ",E16," | ",B16," | ",D16," | Trainer: ",F16))</f>
        <v>📌 Actions &amp; User Inputs | Wed, Sep 23, 2026 | Module 2: Playwright Core | Trainer: Tarun</v>
      </c>
    </row>
    <row r="17" spans="1:10" ht="121.5">
      <c r="A17" s="22" t="s">
        <v>90</v>
      </c>
      <c r="B17" s="1" t="s">
        <v>91</v>
      </c>
      <c r="C17" s="10" t="s">
        <v>13</v>
      </c>
      <c r="D17" s="18" t="s">
        <v>62</v>
      </c>
      <c r="E17" s="14" t="s">
        <v>92</v>
      </c>
      <c r="F17" s="86" t="s">
        <v>64</v>
      </c>
      <c r="G17" s="1" t="s">
        <v>93</v>
      </c>
      <c r="H17" s="2" t="s">
        <v>94</v>
      </c>
      <c r="I17" s="69" t="str">
        <f ca="1">IF(OR(C17="Optional",ISNUMBER(SEARCH("Self-paced",B17))),"📘 Self-paced",IF(B17="","",_xlfn.LET(_xlpm.cleanDate,TRIM(MID(B17,FIND(",",B17)+1,100)),_xlpm.dateVal,DATEVALUE(_xlpm.cleanDate),IF(_xlpm.dateVal&gt;TODAY(),"🔵 Upcoming",IF(_xlpm.dateVal=TODAY(),"🟡 TODAY","⚪ Pending")))))</f>
        <v>🔵 Upcoming</v>
      </c>
      <c r="J17" s="72" t="str">
        <f>IF(C17="Optional","(Self-paced - no invite needed)",CONCATENATE("📌 ",E17," | ",B17," | ",D17," | Trainer: ",F17))</f>
        <v>📌 Assertions &amp; Verification | Wed, Sep 30, 2026 | Module 2: Playwright Core | Trainer: Hritik</v>
      </c>
    </row>
    <row r="18" spans="1:10" ht="121.5">
      <c r="A18" s="23" t="s">
        <v>95</v>
      </c>
      <c r="B18" s="5" t="s">
        <v>96</v>
      </c>
      <c r="C18" s="11" t="s">
        <v>13</v>
      </c>
      <c r="D18" s="19" t="s">
        <v>62</v>
      </c>
      <c r="E18" s="15" t="s">
        <v>97</v>
      </c>
      <c r="F18" s="84" t="s">
        <v>98</v>
      </c>
      <c r="G18" s="5" t="s">
        <v>99</v>
      </c>
      <c r="H18" s="6" t="s">
        <v>100</v>
      </c>
      <c r="I18" s="71" t="str">
        <f ca="1">IF(OR(C18="Optional",ISNUMBER(SEARCH("Self-paced",B18))),"📘 Self-paced",IF(B18="","",_xlfn.LET(_xlpm.cleanDate,TRIM(MID(B18,FIND(",",B18)+1,100)),_xlpm.dateVal,DATEVALUE(_xlpm.cleanDate),IF(_xlpm.dateVal&gt;TODAY(),"🔵 Upcoming",IF(_xlpm.dateVal=TODAY(),"🟡 TODAY","⚪ Pending")))))</f>
        <v>🔵 Upcoming</v>
      </c>
      <c r="J18" s="74" t="str">
        <f>IF(C18="Optional","(Self-paced - no invite needed)",CONCATENATE("📌 ",E18," | ",B18," | ",D18," | Trainer: ",F18))</f>
        <v>📌 Auto-Waiting &amp; Handling Delays | Wed, Oct 07, 2026 | Module 2: Playwright Core | Trainer: Vishal Tyagi - Jr</v>
      </c>
    </row>
    <row r="19" spans="1:10" ht="121.5">
      <c r="A19" s="21" t="s">
        <v>101</v>
      </c>
      <c r="B19" s="3" t="s">
        <v>102</v>
      </c>
      <c r="C19" s="25" t="s">
        <v>21</v>
      </c>
      <c r="D19" s="17" t="s">
        <v>62</v>
      </c>
      <c r="E19" s="13" t="s">
        <v>103</v>
      </c>
      <c r="F19" s="85" t="s">
        <v>24</v>
      </c>
      <c r="G19" s="3" t="s">
        <v>104</v>
      </c>
      <c r="H19" s="4" t="s">
        <v>105</v>
      </c>
      <c r="I19" s="70" t="str">
        <f ca="1">IF(OR(C19="Optional",ISNUMBER(SEARCH("Self-paced",B19))),"📘 Self-paced",IF(B19="","",_xlfn.LET(_xlpm.cleanDate,TRIM(MID(B19,FIND(",",B19)+1,100)),_xlpm.dateVal,DATEVALUE(_xlpm.cleanDate),IF(_xlpm.dateVal&gt;TODAY(),"🔵 Upcoming",IF(_xlpm.dateVal=TODAY(),"🟡 TODAY","⚪ Pending")))))</f>
        <v>📘 Self-paced</v>
      </c>
      <c r="J19" s="73" t="str">
        <f>IF(C19="Optional","(Self-paced - no invite needed)",CONCATENATE("📌 ",E19," | ",B19," | ",D19," | Trainer: ",F19))</f>
        <v>(Self-paced - no invite needed)</v>
      </c>
    </row>
    <row r="20" spans="1:10" ht="121.5">
      <c r="A20" s="22" t="s">
        <v>106</v>
      </c>
      <c r="B20" s="1" t="s">
        <v>107</v>
      </c>
      <c r="C20" s="10" t="s">
        <v>13</v>
      </c>
      <c r="D20" s="18" t="s">
        <v>62</v>
      </c>
      <c r="E20" s="14" t="s">
        <v>108</v>
      </c>
      <c r="F20" s="86" t="s">
        <v>36</v>
      </c>
      <c r="G20" s="1" t="s">
        <v>109</v>
      </c>
      <c r="H20" s="2" t="s">
        <v>110</v>
      </c>
      <c r="I20" s="69" t="str">
        <f ca="1">IF(OR(C20="Optional",ISNUMBER(SEARCH("Self-paced",B20))),"📘 Self-paced",IF(B20="","",_xlfn.LET(_xlpm.cleanDate,TRIM(MID(B20,FIND(",",B20)+1,100)),_xlpm.dateVal,DATEVALUE(_xlpm.cleanDate),IF(_xlpm.dateVal&gt;TODAY(),"🔵 Upcoming",IF(_xlpm.dateVal=TODAY(),"🟡 TODAY","⚪ Pending")))))</f>
        <v>🔵 Upcoming</v>
      </c>
      <c r="J20" s="72" t="str">
        <f>IF(C20="Optional","(Self-paced - no invite needed)",CONCATENATE("📌 ",E20," | ",B20," | ",D20," | Trainer: ",F20))</f>
        <v>📌 Test Execution &amp; Debugging | Wed, Oct 14, 2026 | Module 2: Playwright Core | Trainer: Aruneema</v>
      </c>
    </row>
    <row r="21" spans="1:10" ht="121.5">
      <c r="A21" s="21" t="s">
        <v>111</v>
      </c>
      <c r="B21" s="3" t="s">
        <v>112</v>
      </c>
      <c r="C21" s="9" t="s">
        <v>21</v>
      </c>
      <c r="D21" s="17" t="s">
        <v>22</v>
      </c>
      <c r="E21" s="13" t="s">
        <v>113</v>
      </c>
      <c r="F21" s="85" t="s">
        <v>24</v>
      </c>
      <c r="G21" s="3" t="s">
        <v>114</v>
      </c>
      <c r="H21" s="4" t="s">
        <v>115</v>
      </c>
      <c r="I21" s="70" t="str">
        <f ca="1">IF(OR(C21="Optional",ISNUMBER(SEARCH("Self-paced",B21))),"📘 Self-paced",IF(B21="","",_xlfn.LET(_xlpm.cleanDate,TRIM(MID(B21,FIND(",",B21)+1,100)),_xlpm.dateVal,DATEVALUE(_xlpm.cleanDate),IF(_xlpm.dateVal&gt;TODAY(),"🔵 Upcoming",IF(_xlpm.dateVal=TODAY(),"🟡 TODAY","⚪ Pending")))))</f>
        <v>📘 Self-paced</v>
      </c>
      <c r="J21" s="73" t="str">
        <f>IF(C21="Optional","(Self-paced - no invite needed)",CONCATENATE("📌 ",E21," | ",B21," | ",D21," | Trainer: ",F21))</f>
        <v>(Self-paced - no invite needed)</v>
      </c>
    </row>
    <row r="22" spans="1:10" ht="137.25">
      <c r="A22" s="21" t="s">
        <v>116</v>
      </c>
      <c r="B22" s="3" t="s">
        <v>112</v>
      </c>
      <c r="C22" s="9" t="s">
        <v>21</v>
      </c>
      <c r="D22" s="17" t="s">
        <v>117</v>
      </c>
      <c r="E22" s="13" t="s">
        <v>118</v>
      </c>
      <c r="F22" s="85" t="s">
        <v>24</v>
      </c>
      <c r="G22" s="3" t="s">
        <v>119</v>
      </c>
      <c r="H22" s="4" t="s">
        <v>120</v>
      </c>
      <c r="I22" s="70" t="str">
        <f ca="1">IF(OR(C22="Optional",ISNUMBER(SEARCH("Self-paced",B22))),"📘 Self-paced",IF(B22="","",_xlfn.LET(_xlpm.cleanDate,TRIM(MID(B22,FIND(",",B22)+1,100)),_xlpm.dateVal,DATEVALUE(_xlpm.cleanDate),IF(_xlpm.dateVal&gt;TODAY(),"🔵 Upcoming",IF(_xlpm.dateVal=TODAY(),"🟡 TODAY","⚪ Pending")))))</f>
        <v>📘 Self-paced</v>
      </c>
      <c r="J22" s="73" t="str">
        <f>IF(C22="Optional","(Self-paced - no invite needed)",CONCATENATE("📌 ",E22," | ",B22," | ",D22," | Trainer: ",F22))</f>
        <v>(Self-paced - no invite needed)</v>
      </c>
    </row>
    <row r="23" spans="1:10" ht="106.5">
      <c r="A23" s="23" t="s">
        <v>121</v>
      </c>
      <c r="B23" s="5" t="s">
        <v>122</v>
      </c>
      <c r="C23" s="11" t="s">
        <v>13</v>
      </c>
      <c r="D23" s="19" t="s">
        <v>123</v>
      </c>
      <c r="E23" s="15" t="s">
        <v>124</v>
      </c>
      <c r="F23" s="88" t="s">
        <v>98</v>
      </c>
      <c r="G23" s="5" t="s">
        <v>125</v>
      </c>
      <c r="H23" s="6" t="s">
        <v>126</v>
      </c>
      <c r="I23" s="71" t="str">
        <f ca="1">IF(OR(C23="Optional",ISNUMBER(SEARCH("Self-paced",B23))),"📘 Self-paced",IF(B23="","",_xlfn.LET(_xlpm.cleanDate,TRIM(MID(B23,FIND(",",B23)+1,100)),_xlpm.dateVal,DATEVALUE(_xlpm.cleanDate),IF(_xlpm.dateVal&gt;TODAY(),"🔵 Upcoming",IF(_xlpm.dateVal=TODAY(),"🟡 TODAY","⚪ Pending")))))</f>
        <v>🔵 Upcoming</v>
      </c>
      <c r="J23" s="74" t="str">
        <f>IF(C23="Optional","(Self-paced - no invite needed)",CONCATENATE("📌 ",E23," | ",B23," | ",D23," | Trainer: ",F23))</f>
        <v>📌 Test Suite Organization &amp; Hooks | Wed, Oct 21, 2026 | Module 3: Test Architecture | Trainer: Vishal Tyagi - Jr</v>
      </c>
    </row>
    <row r="24" spans="1:10" ht="121.5">
      <c r="A24" s="21" t="s">
        <v>127</v>
      </c>
      <c r="B24" s="3" t="s">
        <v>128</v>
      </c>
      <c r="C24" s="25" t="s">
        <v>21</v>
      </c>
      <c r="D24" s="17" t="s">
        <v>123</v>
      </c>
      <c r="E24" s="13" t="s">
        <v>129</v>
      </c>
      <c r="F24" s="85" t="s">
        <v>24</v>
      </c>
      <c r="G24" s="3" t="s">
        <v>130</v>
      </c>
      <c r="H24" s="4" t="s">
        <v>131</v>
      </c>
      <c r="I24" s="70" t="str">
        <f ca="1">IF(OR(C24="Optional",ISNUMBER(SEARCH("Self-paced",B24))),"📘 Self-paced",IF(B24="","",_xlfn.LET(_xlpm.cleanDate,TRIM(MID(B24,FIND(",",B24)+1,100)),_xlpm.dateVal,DATEVALUE(_xlpm.cleanDate),IF(_xlpm.dateVal&gt;TODAY(),"🔵 Upcoming",IF(_xlpm.dateVal=TODAY(),"🟡 TODAY","⚪ Pending")))))</f>
        <v>📘 Self-paced</v>
      </c>
      <c r="J24" s="73" t="str">
        <f>IF(C24="Optional","(Self-paced - no invite needed)",CONCATENATE("📌 ",E24," | ",B24," | ",D24," | Trainer: ",F24))</f>
        <v>(Self-paced - no invite needed)</v>
      </c>
    </row>
    <row r="25" spans="1:10" ht="121.5">
      <c r="A25" s="22" t="s">
        <v>132</v>
      </c>
      <c r="B25" s="1" t="s">
        <v>133</v>
      </c>
      <c r="C25" s="10" t="s">
        <v>13</v>
      </c>
      <c r="D25" s="18" t="s">
        <v>123</v>
      </c>
      <c r="E25" s="14" t="s">
        <v>134</v>
      </c>
      <c r="F25" s="86" t="s">
        <v>64</v>
      </c>
      <c r="G25" s="1" t="s">
        <v>135</v>
      </c>
      <c r="H25" s="2" t="s">
        <v>136</v>
      </c>
      <c r="I25" s="69" t="str">
        <f ca="1">IF(OR(C25="Optional",ISNUMBER(SEARCH("Self-paced",B25))),"📘 Self-paced",IF(B25="","",_xlfn.LET(_xlpm.cleanDate,TRIM(MID(B25,FIND(",",B25)+1,100)),_xlpm.dateVal,DATEVALUE(_xlpm.cleanDate),IF(_xlpm.dateVal&gt;TODAY(),"🔵 Upcoming",IF(_xlpm.dateVal=TODAY(),"🟡 TODAY","⚪ Pending")))))</f>
        <v>🔵 Upcoming</v>
      </c>
      <c r="J25" s="72" t="str">
        <f>IF(C25="Optional","(Self-paced - no invite needed)",CONCATENATE("📌 ",E25," | ",B25," | ",D25," | Trainer: ",F25))</f>
        <v>📌 Page Object Model (POM) - Part 1 | Wed, Oct 28, 2026 | Module 3: Test Architecture | Trainer: Hritik</v>
      </c>
    </row>
    <row r="26" spans="1:10" ht="121.5">
      <c r="A26" s="23" t="s">
        <v>137</v>
      </c>
      <c r="B26" s="5" t="s">
        <v>138</v>
      </c>
      <c r="C26" s="11" t="s">
        <v>13</v>
      </c>
      <c r="D26" s="19" t="s">
        <v>123</v>
      </c>
      <c r="E26" s="15" t="s">
        <v>139</v>
      </c>
      <c r="F26" s="84" t="s">
        <v>16</v>
      </c>
      <c r="G26" s="5" t="s">
        <v>140</v>
      </c>
      <c r="H26" s="6" t="s">
        <v>141</v>
      </c>
      <c r="I26" s="71" t="str">
        <f ca="1">IF(OR(C26="Optional",ISNUMBER(SEARCH("Self-paced",B26))),"📘 Self-paced",IF(B26="","",_xlfn.LET(_xlpm.cleanDate,TRIM(MID(B26,FIND(",",B26)+1,100)),_xlpm.dateVal,DATEVALUE(_xlpm.cleanDate),IF(_xlpm.dateVal&gt;TODAY(),"🔵 Upcoming",IF(_xlpm.dateVal=TODAY(),"🟡 TODAY","⚪ Pending")))))</f>
        <v>🔵 Upcoming</v>
      </c>
      <c r="J26" s="74" t="str">
        <f>IF(C26="Optional","(Self-paced - no invite needed)",CONCATENATE("📌 ",E26," | ",B26," | ",D26," | Trainer: ",F26))</f>
        <v>📌 Page Object Model (POM) - Part 2 | Wed, Nov 04, 2026 | Module 3: Test Architecture | Trainer: Vishal Tyagi</v>
      </c>
    </row>
    <row r="27" spans="1:10" ht="106.5">
      <c r="A27" s="21" t="s">
        <v>142</v>
      </c>
      <c r="B27" s="3" t="s">
        <v>143</v>
      </c>
      <c r="C27" s="25" t="s">
        <v>21</v>
      </c>
      <c r="D27" s="17" t="s">
        <v>123</v>
      </c>
      <c r="E27" s="13" t="s">
        <v>144</v>
      </c>
      <c r="F27" s="85" t="s">
        <v>24</v>
      </c>
      <c r="G27" s="3" t="s">
        <v>145</v>
      </c>
      <c r="H27" s="4" t="s">
        <v>146</v>
      </c>
      <c r="I27" s="70" t="str">
        <f ca="1">IF(OR(C27="Optional",ISNUMBER(SEARCH("Self-paced",B27))),"📘 Self-paced",IF(B27="","",_xlfn.LET(_xlpm.cleanDate,TRIM(MID(B27,FIND(",",B27)+1,100)),_xlpm.dateVal,DATEVALUE(_xlpm.cleanDate),IF(_xlpm.dateVal&gt;TODAY(),"🔵 Upcoming",IF(_xlpm.dateVal=TODAY(),"🟡 TODAY","⚪ Pending")))))</f>
        <v>📘 Self-paced</v>
      </c>
      <c r="J27" s="73" t="str">
        <f>IF(C27="Optional","(Self-paced - no invite needed)",CONCATENATE("📌 ",E27," | ",B27," | ",D27," | Trainer: ",F27))</f>
        <v>(Self-paced - no invite needed)</v>
      </c>
    </row>
    <row r="28" spans="1:10" ht="152.25">
      <c r="A28" s="21" t="s">
        <v>147</v>
      </c>
      <c r="B28" s="3" t="s">
        <v>143</v>
      </c>
      <c r="C28" s="9" t="s">
        <v>21</v>
      </c>
      <c r="D28" s="17" t="s">
        <v>148</v>
      </c>
      <c r="E28" s="13" t="s">
        <v>149</v>
      </c>
      <c r="F28" s="85" t="s">
        <v>24</v>
      </c>
      <c r="G28" s="3" t="s">
        <v>150</v>
      </c>
      <c r="H28" s="4" t="s">
        <v>151</v>
      </c>
      <c r="I28" s="70" t="str">
        <f ca="1">IF(OR(C28="Optional",ISNUMBER(SEARCH("Self-paced",B28))),"📘 Self-paced",IF(B28="","",_xlfn.LET(_xlpm.cleanDate,TRIM(MID(B28,FIND(",",B28)+1,100)),_xlpm.dateVal,DATEVALUE(_xlpm.cleanDate),IF(_xlpm.dateVal&gt;TODAY(),"🔵 Upcoming",IF(_xlpm.dateVal=TODAY(),"🟡 TODAY","⚪ Pending")))))</f>
        <v>📘 Self-paced</v>
      </c>
      <c r="J28" s="73" t="str">
        <f>IF(C28="Optional","(Self-paced - no invite needed)",CONCATENATE("📌 ",E28," | ",B28," | ",D28," | Trainer: ",F28))</f>
        <v>(Self-paced - no invite needed)</v>
      </c>
    </row>
    <row r="29" spans="1:10" ht="121.5">
      <c r="A29" s="23" t="s">
        <v>152</v>
      </c>
      <c r="B29" s="5" t="s">
        <v>153</v>
      </c>
      <c r="C29" s="11" t="s">
        <v>13</v>
      </c>
      <c r="D29" s="19" t="s">
        <v>154</v>
      </c>
      <c r="E29" s="15" t="s">
        <v>155</v>
      </c>
      <c r="F29" s="86" t="s">
        <v>16</v>
      </c>
      <c r="G29" s="5" t="s">
        <v>156</v>
      </c>
      <c r="H29" s="6" t="s">
        <v>157</v>
      </c>
      <c r="I29" s="71" t="str">
        <f ca="1">IF(OR(C29="Optional",ISNUMBER(SEARCH("Self-paced",B29))),"📘 Self-paced",IF(B29="","",_xlfn.LET(_xlpm.cleanDate,TRIM(MID(B29,FIND(",",B29)+1,100)),_xlpm.dateVal,DATEVALUE(_xlpm.cleanDate),IF(_xlpm.dateVal&gt;TODAY(),"🔵 Upcoming",IF(_xlpm.dateVal=TODAY(),"🟡 TODAY","⚪ Pending")))))</f>
        <v>🔵 Upcoming</v>
      </c>
      <c r="J29" s="74" t="str">
        <f>IF(C29="Optional","(Self-paced - no invite needed)",CONCATENATE("📌 ",E29," | ",B29," | ",D29," | Trainer: ",F29))</f>
        <v>📌 Transitioning JS to TypeScript | Wed, Nov 11, 2026 | Module 4: TypeScript Intro | Trainer: Vishal Tyagi</v>
      </c>
    </row>
    <row r="30" spans="1:10" ht="121.5">
      <c r="A30" s="22" t="s">
        <v>158</v>
      </c>
      <c r="B30" s="1" t="s">
        <v>159</v>
      </c>
      <c r="C30" s="10" t="s">
        <v>13</v>
      </c>
      <c r="D30" s="18" t="s">
        <v>154</v>
      </c>
      <c r="E30" s="14" t="s">
        <v>160</v>
      </c>
      <c r="F30" s="84" t="s">
        <v>16</v>
      </c>
      <c r="G30" s="1" t="s">
        <v>161</v>
      </c>
      <c r="H30" s="2" t="s">
        <v>162</v>
      </c>
      <c r="I30" s="69" t="str">
        <f ca="1">IF(OR(C30="Optional",ISNUMBER(SEARCH("Self-paced",B30))),"📘 Self-paced",IF(B30="","",_xlfn.LET(_xlpm.cleanDate,TRIM(MID(B30,FIND(",",B30)+1,100)),_xlpm.dateVal,DATEVALUE(_xlpm.cleanDate),IF(_xlpm.dateVal&gt;TODAY(),"🔵 Upcoming",IF(_xlpm.dateVal=TODAY(),"🟡 TODAY","⚪ Pending")))))</f>
        <v>🔵 Upcoming</v>
      </c>
      <c r="J30" s="72" t="str">
        <f>IF(C30="Optional","(Self-paced - no invite needed)",CONCATENATE("📌 ",E30," | ",B30," | ",D30," | Trainer: ",F30))</f>
        <v>📌 TypeScript Interfaces &amp; Page Objects | Wed, Nov 18, 2026 | Module 4: TypeScript Intro | Trainer: Vishal Tyagi</v>
      </c>
    </row>
    <row r="31" spans="1:10" ht="121.5">
      <c r="A31" s="24" t="s">
        <v>163</v>
      </c>
      <c r="B31" s="7" t="s">
        <v>164</v>
      </c>
      <c r="C31" s="12" t="s">
        <v>13</v>
      </c>
      <c r="D31" s="20" t="s">
        <v>154</v>
      </c>
      <c r="E31" s="16" t="s">
        <v>165</v>
      </c>
      <c r="F31" s="87" t="s">
        <v>16</v>
      </c>
      <c r="G31" s="7" t="s">
        <v>166</v>
      </c>
      <c r="H31" s="8" t="s">
        <v>167</v>
      </c>
      <c r="I31" s="71" t="str">
        <f ca="1">IF(OR(C31="Optional",ISNUMBER(SEARCH("Self-paced",B31))),"📘 Self-paced",IF(B31="","",_xlfn.LET(_xlpm.cleanDate,TRIM(MID(B31,FIND(",",B31)+1,100)),_xlpm.dateVal,DATEVALUE(_xlpm.cleanDate),IF(_xlpm.dateVal&gt;TODAY(),"🔵 Upcoming",IF(_xlpm.dateVal=TODAY(),"🟡 TODAY","⚪ Pending")))))</f>
        <v>🔵 Upcoming</v>
      </c>
      <c r="J31" s="74" t="str">
        <f>IF(C31="Optional","(Self-paced - no invite needed)",CONCATENATE("📌 ",E31," | ",B31," | ",D31," | Trainer: ",F31))</f>
        <v>📌 Capstone Project &amp; Review | Wed, Nov 25, 2026 | Module 4: TypeScript Intro | Trainer: Vishal Tyagi</v>
      </c>
    </row>
  </sheetData>
  <autoFilter ref="A1:J31"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autoFilter>
  <mergeCells count="1">
    <mergeCell ref="A1:J1"/>
  </mergeCells>
  <conditionalFormatting sqref="I3:J31">
    <cfRule type="containsText" dxfId="8" priority="1" operator="containsText" text="Upcoming">
      <formula>NOT(ISERROR(SEARCH("Upcoming",I3)))</formula>
    </cfRule>
  </conditionalFormatting>
  <conditionalFormatting sqref="I3:J31">
    <cfRule type="containsText" dxfId="7" priority="2" operator="containsText" text="TODAY">
      <formula>NOT(ISERROR(SEARCH("TODAY",I3)))</formula>
    </cfRule>
  </conditionalFormatting>
  <conditionalFormatting sqref="I3:J31">
    <cfRule type="containsText" dxfId="6" priority="3" operator="containsText" text="Pending">
      <formula>NOT(ISERROR(SEARCH("Pending",I3)))</formula>
    </cfRule>
  </conditionalFormatting>
  <conditionalFormatting sqref="I3:J31">
    <cfRule type="containsText" dxfId="5" priority="4" operator="containsText" text="Self-paced">
      <formula>NOT(ISERROR(SEARCH("Self-paced",I3)))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3BFDC-FB44-40F2-92FE-5E065F30576C}">
  <dimension ref="A1:AL59"/>
  <sheetViews>
    <sheetView workbookViewId="0">
      <pane xSplit="2" ySplit="4" topLeftCell="C5" activePane="bottomRight" state="frozen"/>
      <selection pane="bottomRight" activeCell="C6" sqref="C6"/>
      <selection pane="bottomLeft"/>
      <selection pane="topRight"/>
    </sheetView>
  </sheetViews>
  <sheetFormatPr defaultRowHeight="15"/>
  <cols>
    <col min="1" max="1" width="8" customWidth="1"/>
    <col min="2" max="2" width="28.5703125" customWidth="1"/>
    <col min="3" max="3" width="34.28515625" customWidth="1"/>
    <col min="4" max="4" width="17.140625" customWidth="1"/>
    <col min="5" max="33" width="8.5703125" customWidth="1"/>
    <col min="34" max="34" width="13.28515625" customWidth="1"/>
    <col min="35" max="35" width="15.28515625" customWidth="1"/>
    <col min="36" max="36" width="11.42578125" customWidth="1"/>
    <col min="37" max="37" width="28.5703125" customWidth="1"/>
    <col min="38" max="38" width="16.140625" customWidth="1"/>
  </cols>
  <sheetData>
    <row r="1" spans="1:38" ht="39.75" customHeight="1">
      <c r="A1" s="90" t="s">
        <v>168</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row>
    <row r="3" spans="1:38" ht="30" customHeight="1">
      <c r="A3" s="29" t="s">
        <v>169</v>
      </c>
      <c r="B3" s="30" t="s">
        <v>170</v>
      </c>
      <c r="C3" s="42" t="s">
        <v>171</v>
      </c>
      <c r="D3" s="32" t="s">
        <v>172</v>
      </c>
      <c r="E3" s="45" t="s">
        <v>173</v>
      </c>
      <c r="F3" s="31" t="s">
        <v>174</v>
      </c>
      <c r="G3" s="30" t="s">
        <v>175</v>
      </c>
      <c r="H3" s="30" t="s">
        <v>176</v>
      </c>
      <c r="I3" s="30" t="s">
        <v>177</v>
      </c>
      <c r="J3" s="30" t="s">
        <v>178</v>
      </c>
      <c r="K3" s="30" t="s">
        <v>179</v>
      </c>
      <c r="L3" s="31" t="s">
        <v>180</v>
      </c>
      <c r="M3" s="30" t="s">
        <v>181</v>
      </c>
      <c r="N3" s="30" t="s">
        <v>182</v>
      </c>
      <c r="O3" s="31" t="s">
        <v>183</v>
      </c>
      <c r="P3" s="31" t="s">
        <v>184</v>
      </c>
      <c r="Q3" s="30" t="s">
        <v>185</v>
      </c>
      <c r="R3" s="30" t="s">
        <v>186</v>
      </c>
      <c r="S3" s="30" t="s">
        <v>187</v>
      </c>
      <c r="T3" s="30" t="s">
        <v>188</v>
      </c>
      <c r="U3" s="31" t="s">
        <v>189</v>
      </c>
      <c r="V3" s="30" t="s">
        <v>190</v>
      </c>
      <c r="W3" s="30" t="s">
        <v>191</v>
      </c>
      <c r="X3" s="31" t="s">
        <v>192</v>
      </c>
      <c r="Y3" s="30" t="s">
        <v>193</v>
      </c>
      <c r="Z3" s="30" t="s">
        <v>194</v>
      </c>
      <c r="AA3" s="30" t="s">
        <v>195</v>
      </c>
      <c r="AB3" s="30" t="s">
        <v>196</v>
      </c>
      <c r="AC3" s="30" t="s">
        <v>197</v>
      </c>
      <c r="AD3" s="31" t="s">
        <v>198</v>
      </c>
      <c r="AE3" s="31" t="s">
        <v>199</v>
      </c>
      <c r="AF3" s="49" t="s">
        <v>200</v>
      </c>
      <c r="AG3" s="52" t="s">
        <v>201</v>
      </c>
      <c r="AH3" s="45" t="s">
        <v>202</v>
      </c>
      <c r="AI3" s="30" t="s">
        <v>203</v>
      </c>
      <c r="AJ3" s="30" t="s">
        <v>204</v>
      </c>
      <c r="AK3" s="32" t="s">
        <v>205</v>
      </c>
      <c r="AL3" s="76" t="s">
        <v>206</v>
      </c>
    </row>
    <row r="4" spans="1:38" ht="24.75" customHeight="1">
      <c r="A4" s="33"/>
      <c r="B4" s="34"/>
      <c r="C4" s="43"/>
      <c r="D4" s="36"/>
      <c r="E4" s="46" t="s">
        <v>207</v>
      </c>
      <c r="F4" s="35" t="s">
        <v>208</v>
      </c>
      <c r="G4" s="34" t="s">
        <v>209</v>
      </c>
      <c r="H4" s="34" t="s">
        <v>210</v>
      </c>
      <c r="I4" s="34" t="s">
        <v>211</v>
      </c>
      <c r="J4" s="34" t="s">
        <v>47</v>
      </c>
      <c r="K4" s="34" t="s">
        <v>212</v>
      </c>
      <c r="L4" s="35" t="s">
        <v>213</v>
      </c>
      <c r="M4" s="34" t="s">
        <v>214</v>
      </c>
      <c r="N4" s="34" t="s">
        <v>215</v>
      </c>
      <c r="O4" s="35" t="s">
        <v>73</v>
      </c>
      <c r="P4" s="35" t="s">
        <v>77</v>
      </c>
      <c r="Q4" s="34" t="s">
        <v>216</v>
      </c>
      <c r="R4" s="34" t="s">
        <v>217</v>
      </c>
      <c r="S4" s="34" t="s">
        <v>218</v>
      </c>
      <c r="T4" s="34" t="s">
        <v>219</v>
      </c>
      <c r="U4" s="35" t="s">
        <v>103</v>
      </c>
      <c r="V4" s="34" t="s">
        <v>220</v>
      </c>
      <c r="W4" s="34" t="s">
        <v>221</v>
      </c>
      <c r="X4" s="35" t="s">
        <v>222</v>
      </c>
      <c r="Y4" s="34" t="s">
        <v>223</v>
      </c>
      <c r="Z4" s="34" t="s">
        <v>224</v>
      </c>
      <c r="AA4" s="34" t="s">
        <v>225</v>
      </c>
      <c r="AB4" s="34" t="s">
        <v>226</v>
      </c>
      <c r="AC4" s="34" t="s">
        <v>227</v>
      </c>
      <c r="AD4" s="35" t="s">
        <v>228</v>
      </c>
      <c r="AE4" s="35" t="s">
        <v>229</v>
      </c>
      <c r="AF4" s="50" t="s">
        <v>230</v>
      </c>
      <c r="AG4" s="53" t="s">
        <v>231</v>
      </c>
      <c r="AH4" s="46" t="s">
        <v>232</v>
      </c>
      <c r="AI4" s="34" t="s">
        <v>233</v>
      </c>
      <c r="AJ4" s="34"/>
      <c r="AK4" s="36"/>
      <c r="AL4" s="77" t="s">
        <v>234</v>
      </c>
    </row>
    <row r="5" spans="1:38">
      <c r="A5" s="37">
        <v>1</v>
      </c>
      <c r="B5" s="59" t="s">
        <v>235</v>
      </c>
      <c r="C5" s="89" t="s">
        <v>236</v>
      </c>
      <c r="D5" s="48"/>
      <c r="E5" s="47"/>
      <c r="F5" s="39"/>
      <c r="G5" s="39"/>
      <c r="H5" s="39"/>
      <c r="I5" s="39"/>
      <c r="J5" s="39"/>
      <c r="K5" s="39"/>
      <c r="L5" s="39"/>
      <c r="M5" s="39"/>
      <c r="N5" s="39"/>
      <c r="O5" s="39"/>
      <c r="P5" s="39"/>
      <c r="Q5" s="39"/>
      <c r="R5" s="39"/>
      <c r="S5" s="39"/>
      <c r="T5" s="39"/>
      <c r="U5" s="39"/>
      <c r="V5" s="39"/>
      <c r="W5" s="39"/>
      <c r="X5" s="39"/>
      <c r="Y5" s="39"/>
      <c r="Z5" s="39"/>
      <c r="AA5" s="39"/>
      <c r="AB5" s="39"/>
      <c r="AC5" s="39"/>
      <c r="AD5" s="39"/>
      <c r="AE5" s="39"/>
      <c r="AF5" s="51"/>
      <c r="AG5" s="54"/>
      <c r="AH5" s="47">
        <f>COUNTIF(E5,"✓")+COUNTIF(G5:K5,"✓")+COUNTIF(M5:N5,"✓")+COUNTIF(Q5:T5,"✓")+COUNTIF(V5:W5,"✓")+COUNTIF(Y5:AC5,"✓")</f>
        <v>0</v>
      </c>
      <c r="AI5" s="39">
        <f>COUNTIF(F5,"✓")+COUNTIF(L5,"✓")+COUNTIF(O5:P5,"✓")+COUNTIF(U5,"✓")+COUNTIF(X5,"✓")+COUNTIF(AD5:AG5,"✓")</f>
        <v>0</v>
      </c>
      <c r="AJ5" s="40" t="str">
        <f>IF(AH5=0,"",AH5/18)</f>
        <v/>
      </c>
      <c r="AK5" s="41"/>
      <c r="AL5" s="78" t="str">
        <f>IF(AH5=0,"",AH5/18)</f>
        <v/>
      </c>
    </row>
    <row r="6" spans="1:38">
      <c r="A6" s="37">
        <v>2</v>
      </c>
      <c r="B6" s="38" t="s">
        <v>237</v>
      </c>
      <c r="C6" s="80" t="s">
        <v>238</v>
      </c>
      <c r="D6" s="48"/>
      <c r="E6" s="47"/>
      <c r="F6" s="39"/>
      <c r="G6" s="39"/>
      <c r="H6" s="39"/>
      <c r="I6" s="39"/>
      <c r="J6" s="39"/>
      <c r="K6" s="39"/>
      <c r="L6" s="39"/>
      <c r="M6" s="39"/>
      <c r="N6" s="39"/>
      <c r="O6" s="39"/>
      <c r="P6" s="39"/>
      <c r="Q6" s="39"/>
      <c r="R6" s="39"/>
      <c r="S6" s="39"/>
      <c r="T6" s="39"/>
      <c r="U6" s="39"/>
      <c r="V6" s="39"/>
      <c r="W6" s="39"/>
      <c r="X6" s="39"/>
      <c r="Y6" s="39"/>
      <c r="Z6" s="39"/>
      <c r="AA6" s="39"/>
      <c r="AB6" s="39"/>
      <c r="AC6" s="39"/>
      <c r="AD6" s="39"/>
      <c r="AE6" s="39"/>
      <c r="AF6" s="51"/>
      <c r="AG6" s="54"/>
      <c r="AH6" s="47">
        <f>COUNTIF(E6,"✓")+COUNTIF(G6:K6,"✓")+COUNTIF(M6:N6,"✓")+COUNTIF(Q6:T6,"✓")+COUNTIF(V6:W6,"✓")+COUNTIF(Y6:AC6,"✓")</f>
        <v>0</v>
      </c>
      <c r="AI6" s="39">
        <f>COUNTIF(F6,"✓")+COUNTIF(L6,"✓")+COUNTIF(O6:P6,"✓")+COUNTIF(U6,"✓")+COUNTIF(X6,"✓")+COUNTIF(AD6:AG6,"✓")</f>
        <v>0</v>
      </c>
      <c r="AJ6" s="40" t="str">
        <f>IF(AH6=0,"",AH6/18)</f>
        <v/>
      </c>
      <c r="AK6" s="41"/>
      <c r="AL6" s="78" t="str">
        <f>IF(AH6=0,"",AH6/18)</f>
        <v/>
      </c>
    </row>
    <row r="7" spans="1:38">
      <c r="A7" s="37">
        <v>3</v>
      </c>
      <c r="B7" s="59" t="s">
        <v>239</v>
      </c>
      <c r="C7" s="81" t="s">
        <v>240</v>
      </c>
      <c r="D7" s="61"/>
      <c r="E7" s="62"/>
      <c r="F7" s="63"/>
      <c r="G7" s="63"/>
      <c r="H7" s="63"/>
      <c r="I7" s="63"/>
      <c r="J7" s="63"/>
      <c r="K7" s="63"/>
      <c r="L7" s="63"/>
      <c r="M7" s="63"/>
      <c r="N7" s="63"/>
      <c r="O7" s="63"/>
      <c r="P7" s="63"/>
      <c r="Q7" s="63"/>
      <c r="R7" s="63"/>
      <c r="S7" s="63"/>
      <c r="T7" s="63"/>
      <c r="U7" s="63"/>
      <c r="V7" s="63"/>
      <c r="W7" s="63"/>
      <c r="X7" s="63"/>
      <c r="Y7" s="63"/>
      <c r="Z7" s="63"/>
      <c r="AA7" s="63"/>
      <c r="AB7" s="63"/>
      <c r="AC7" s="63"/>
      <c r="AD7" s="63"/>
      <c r="AE7" s="63"/>
      <c r="AF7" s="64"/>
      <c r="AG7" s="65"/>
      <c r="AH7" s="62">
        <f>COUNTIF(E7,"✓")+COUNTIF(G7:K7,"✓")+COUNTIF(M7:N7,"✓")+COUNTIF(Q7:T7,"✓")+COUNTIF(V7:W7,"✓")+COUNTIF(Y7:AC7,"✓")</f>
        <v>0</v>
      </c>
      <c r="AI7" s="63">
        <f>COUNTIF(F7,"✓")+COUNTIF(L7,"✓")+COUNTIF(O7:P7,"✓")+COUNTIF(U7,"✓")+COUNTIF(X7,"✓")+COUNTIF(AD7:AG7,"✓")</f>
        <v>0</v>
      </c>
      <c r="AJ7" s="66" t="str">
        <f>IF(AH7=0,"",AH7/18)</f>
        <v/>
      </c>
      <c r="AK7" s="67"/>
      <c r="AL7" s="79" t="str">
        <f>IF(AH7=0,"",AH7/18)</f>
        <v/>
      </c>
    </row>
    <row r="8" spans="1:38">
      <c r="A8" s="37">
        <v>4</v>
      </c>
      <c r="B8" s="38" t="s">
        <v>241</v>
      </c>
      <c r="C8" s="80" t="s">
        <v>242</v>
      </c>
      <c r="D8" s="48"/>
      <c r="E8" s="47"/>
      <c r="F8" s="39"/>
      <c r="G8" s="39"/>
      <c r="H8" s="39"/>
      <c r="I8" s="39"/>
      <c r="J8" s="39"/>
      <c r="K8" s="39"/>
      <c r="L8" s="39"/>
      <c r="M8" s="39"/>
      <c r="N8" s="39"/>
      <c r="O8" s="39"/>
      <c r="P8" s="39"/>
      <c r="Q8" s="39"/>
      <c r="R8" s="39"/>
      <c r="S8" s="39"/>
      <c r="T8" s="39"/>
      <c r="U8" s="39"/>
      <c r="V8" s="39"/>
      <c r="W8" s="39"/>
      <c r="X8" s="39"/>
      <c r="Y8" s="39"/>
      <c r="Z8" s="39"/>
      <c r="AA8" s="39"/>
      <c r="AB8" s="39"/>
      <c r="AC8" s="39"/>
      <c r="AD8" s="39"/>
      <c r="AE8" s="39"/>
      <c r="AF8" s="51"/>
      <c r="AG8" s="54"/>
      <c r="AH8" s="47">
        <f>COUNTIF(E8,"✓")+COUNTIF(G8:K8,"✓")+COUNTIF(M8:N8,"✓")+COUNTIF(Q8:T8,"✓")+COUNTIF(V8:W8,"✓")+COUNTIF(Y8:AC8,"✓")</f>
        <v>0</v>
      </c>
      <c r="AI8" s="39">
        <f>COUNTIF(F8,"✓")+COUNTIF(L8,"✓")+COUNTIF(O8:P8,"✓")+COUNTIF(U8,"✓")+COUNTIF(X8,"✓")+COUNTIF(AD8:AG8,"✓")</f>
        <v>0</v>
      </c>
      <c r="AJ8" s="40" t="str">
        <f>IF(AH8=0,"",AH8/18)</f>
        <v/>
      </c>
      <c r="AK8" s="41"/>
      <c r="AL8" s="78" t="str">
        <f>IF(AH8=0,"",AH8/18)</f>
        <v/>
      </c>
    </row>
    <row r="9" spans="1:38">
      <c r="A9" s="37">
        <v>5</v>
      </c>
      <c r="B9" s="59" t="s">
        <v>243</v>
      </c>
      <c r="C9" s="81" t="s">
        <v>244</v>
      </c>
      <c r="D9" s="61"/>
      <c r="E9" s="62"/>
      <c r="F9" s="63"/>
      <c r="G9" s="63"/>
      <c r="H9" s="63"/>
      <c r="I9" s="63"/>
      <c r="J9" s="63"/>
      <c r="K9" s="63"/>
      <c r="L9" s="63"/>
      <c r="M9" s="63"/>
      <c r="N9" s="63"/>
      <c r="O9" s="63"/>
      <c r="P9" s="63"/>
      <c r="Q9" s="63"/>
      <c r="R9" s="63"/>
      <c r="S9" s="63"/>
      <c r="T9" s="63"/>
      <c r="U9" s="63"/>
      <c r="V9" s="63"/>
      <c r="W9" s="63"/>
      <c r="X9" s="63"/>
      <c r="Y9" s="63"/>
      <c r="Z9" s="63"/>
      <c r="AA9" s="63"/>
      <c r="AB9" s="63"/>
      <c r="AC9" s="63"/>
      <c r="AD9" s="63"/>
      <c r="AE9" s="63"/>
      <c r="AF9" s="64"/>
      <c r="AG9" s="65"/>
      <c r="AH9" s="62">
        <f>COUNTIF(E9,"✓")+COUNTIF(G9:K9,"✓")+COUNTIF(M9:N9,"✓")+COUNTIF(Q9:T9,"✓")+COUNTIF(V9:W9,"✓")+COUNTIF(Y9:AC9,"✓")</f>
        <v>0</v>
      </c>
      <c r="AI9" s="63">
        <f>COUNTIF(F9,"✓")+COUNTIF(L9,"✓")+COUNTIF(O9:P9,"✓")+COUNTIF(U9,"✓")+COUNTIF(X9,"✓")+COUNTIF(AD9:AG9,"✓")</f>
        <v>0</v>
      </c>
      <c r="AJ9" s="66" t="str">
        <f>IF(AH9=0,"",AH9/18)</f>
        <v/>
      </c>
      <c r="AK9" s="67"/>
      <c r="AL9" s="79" t="str">
        <f>IF(AH9=0,"",AH9/18)</f>
        <v/>
      </c>
    </row>
    <row r="10" spans="1:38">
      <c r="A10" s="37">
        <v>6</v>
      </c>
      <c r="B10" s="38" t="s">
        <v>245</v>
      </c>
      <c r="C10" s="80" t="s">
        <v>246</v>
      </c>
      <c r="D10" s="48"/>
      <c r="E10" s="47"/>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51"/>
      <c r="AG10" s="54"/>
      <c r="AH10" s="47">
        <f>COUNTIF(E10,"✓")+COUNTIF(G10:K10,"✓")+COUNTIF(M10:N10,"✓")+COUNTIF(Q10:T10,"✓")+COUNTIF(V10:W10,"✓")+COUNTIF(Y10:AC10,"✓")</f>
        <v>0</v>
      </c>
      <c r="AI10" s="39">
        <f>COUNTIF(F10,"✓")+COUNTIF(L10,"✓")+COUNTIF(O10:P10,"✓")+COUNTIF(U10,"✓")+COUNTIF(X10,"✓")+COUNTIF(AD10:AG10,"✓")</f>
        <v>0</v>
      </c>
      <c r="AJ10" s="40" t="str">
        <f>IF(AH10=0,"",AH10/18)</f>
        <v/>
      </c>
      <c r="AK10" s="41"/>
      <c r="AL10" s="78" t="str">
        <f>IF(AH10=0,"",AH10/18)</f>
        <v/>
      </c>
    </row>
    <row r="11" spans="1:38">
      <c r="A11" s="37">
        <v>7</v>
      </c>
      <c r="B11" s="38" t="s">
        <v>247</v>
      </c>
      <c r="C11" s="83" t="s">
        <v>248</v>
      </c>
      <c r="D11" s="48"/>
      <c r="E11" s="47"/>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51"/>
      <c r="AG11" s="54"/>
      <c r="AH11" s="47">
        <f>COUNTIF(E11,"✓")+COUNTIF(G11:K11,"✓")+COUNTIF(M11:N11,"✓")+COUNTIF(Q11:T11,"✓")+COUNTIF(V11:W11,"✓")+COUNTIF(Y11:AC11,"✓")</f>
        <v>0</v>
      </c>
      <c r="AI11" s="39">
        <f>COUNTIF(F11,"✓")+COUNTIF(L11,"✓")+COUNTIF(O11:P11,"✓")+COUNTIF(U11,"✓")+COUNTIF(X11,"✓")+COUNTIF(AD11:AG11,"✓")</f>
        <v>0</v>
      </c>
      <c r="AJ11" s="40" t="str">
        <f>IF(AH11=0,"",AH11/18)</f>
        <v/>
      </c>
      <c r="AK11" s="41"/>
      <c r="AL11" s="78" t="str">
        <f>IF(AH11=0,"",AH11/18)</f>
        <v/>
      </c>
    </row>
    <row r="12" spans="1:38">
      <c r="A12" s="37">
        <v>8</v>
      </c>
      <c r="B12" s="38" t="s">
        <v>249</v>
      </c>
      <c r="C12" s="80" t="s">
        <v>250</v>
      </c>
      <c r="D12" s="48"/>
      <c r="E12" s="47"/>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51"/>
      <c r="AG12" s="54"/>
      <c r="AH12" s="47"/>
      <c r="AI12" s="39"/>
      <c r="AJ12" s="40"/>
      <c r="AK12" s="41"/>
      <c r="AL12" s="78"/>
    </row>
    <row r="13" spans="1:38">
      <c r="A13" s="37">
        <v>9</v>
      </c>
      <c r="B13" s="59" t="s">
        <v>251</v>
      </c>
      <c r="C13" s="81" t="s">
        <v>252</v>
      </c>
      <c r="D13" s="61"/>
      <c r="E13" s="62"/>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4"/>
      <c r="AG13" s="65"/>
      <c r="AH13" s="62"/>
      <c r="AI13" s="63"/>
      <c r="AJ13" s="66"/>
      <c r="AK13" s="67"/>
      <c r="AL13" s="79"/>
    </row>
    <row r="14" spans="1:38">
      <c r="A14" s="37">
        <v>10</v>
      </c>
      <c r="B14" s="38" t="s">
        <v>253</v>
      </c>
      <c r="C14" s="80" t="s">
        <v>254</v>
      </c>
      <c r="D14" s="48"/>
      <c r="E14" s="47"/>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51"/>
      <c r="AG14" s="54"/>
      <c r="AH14" s="47"/>
      <c r="AI14" s="39"/>
      <c r="AJ14" s="40"/>
      <c r="AK14" s="41"/>
      <c r="AL14" s="78"/>
    </row>
    <row r="15" spans="1:38">
      <c r="A15" s="37">
        <v>11</v>
      </c>
      <c r="B15" s="59" t="s">
        <v>255</v>
      </c>
      <c r="C15" s="81" t="s">
        <v>256</v>
      </c>
      <c r="D15" s="61"/>
      <c r="E15" s="62"/>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4"/>
      <c r="AG15" s="65"/>
      <c r="AH15" s="62"/>
      <c r="AI15" s="63"/>
      <c r="AJ15" s="66"/>
      <c r="AK15" s="67"/>
      <c r="AL15" s="79"/>
    </row>
    <row r="16" spans="1:38">
      <c r="A16" s="37">
        <v>12</v>
      </c>
      <c r="B16" s="82" t="s">
        <v>257</v>
      </c>
      <c r="C16" s="80" t="s">
        <v>258</v>
      </c>
      <c r="D16" s="48"/>
      <c r="E16" s="47"/>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51"/>
      <c r="AG16" s="54"/>
      <c r="AH16" s="47"/>
      <c r="AI16" s="39"/>
      <c r="AJ16" s="40"/>
      <c r="AK16" s="41"/>
      <c r="AL16" s="78"/>
    </row>
    <row r="17" spans="1:38">
      <c r="A17" s="37">
        <v>13</v>
      </c>
      <c r="B17" s="59" t="s">
        <v>259</v>
      </c>
      <c r="C17" s="83" t="s">
        <v>260</v>
      </c>
      <c r="D17" s="61"/>
      <c r="E17" s="62"/>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4"/>
      <c r="AG17" s="65"/>
      <c r="AH17" s="62"/>
      <c r="AI17" s="63"/>
      <c r="AJ17" s="66"/>
      <c r="AK17" s="67"/>
      <c r="AL17" s="79"/>
    </row>
    <row r="18" spans="1:38">
      <c r="A18" s="37">
        <v>14</v>
      </c>
      <c r="B18" s="38" t="s">
        <v>261</v>
      </c>
      <c r="C18" s="80" t="s">
        <v>262</v>
      </c>
      <c r="D18" s="48"/>
      <c r="E18" s="47"/>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51"/>
      <c r="AG18" s="54"/>
      <c r="AH18" s="47"/>
      <c r="AI18" s="39"/>
      <c r="AJ18" s="40"/>
      <c r="AK18" s="41"/>
      <c r="AL18" s="78"/>
    </row>
    <row r="19" spans="1:38">
      <c r="A19" s="37">
        <v>15</v>
      </c>
      <c r="B19" s="59" t="s">
        <v>263</v>
      </c>
      <c r="C19" s="81" t="s">
        <v>264</v>
      </c>
      <c r="D19" s="61"/>
      <c r="E19" s="62"/>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4"/>
      <c r="AG19" s="65"/>
      <c r="AH19" s="62"/>
      <c r="AI19" s="63"/>
      <c r="AJ19" s="66"/>
      <c r="AK19" s="67"/>
      <c r="AL19" s="79"/>
    </row>
    <row r="20" spans="1:38">
      <c r="A20" s="37">
        <v>16</v>
      </c>
      <c r="B20" s="38" t="s">
        <v>265</v>
      </c>
      <c r="C20" s="80" t="s">
        <v>266</v>
      </c>
      <c r="D20" s="48"/>
      <c r="E20" s="47"/>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51"/>
      <c r="AG20" s="54"/>
      <c r="AH20" s="47"/>
      <c r="AI20" s="39"/>
      <c r="AJ20" s="40"/>
      <c r="AK20" s="41"/>
      <c r="AL20" s="78"/>
    </row>
    <row r="21" spans="1:38">
      <c r="A21" s="37">
        <v>17</v>
      </c>
      <c r="B21" s="59" t="s">
        <v>267</v>
      </c>
      <c r="C21" s="81" t="s">
        <v>268</v>
      </c>
      <c r="D21" s="61"/>
      <c r="E21" s="62"/>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4"/>
      <c r="AG21" s="65"/>
      <c r="AH21" s="62"/>
      <c r="AI21" s="63"/>
      <c r="AJ21" s="66"/>
      <c r="AK21" s="67"/>
      <c r="AL21" s="79"/>
    </row>
    <row r="22" spans="1:38">
      <c r="A22" s="37">
        <v>18</v>
      </c>
      <c r="B22" s="38" t="s">
        <v>269</v>
      </c>
      <c r="C22" s="80" t="s">
        <v>270</v>
      </c>
      <c r="D22" s="48"/>
      <c r="E22" s="47"/>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51"/>
      <c r="AG22" s="54"/>
      <c r="AH22" s="47"/>
      <c r="AI22" s="39"/>
      <c r="AJ22" s="40"/>
      <c r="AK22" s="41"/>
      <c r="AL22" s="78"/>
    </row>
    <row r="23" spans="1:38">
      <c r="A23" s="37">
        <v>19</v>
      </c>
      <c r="B23" s="59" t="s">
        <v>271</v>
      </c>
      <c r="C23" s="81" t="s">
        <v>272</v>
      </c>
      <c r="D23" s="61"/>
      <c r="E23" s="62"/>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4"/>
      <c r="AG23" s="65"/>
      <c r="AH23" s="62"/>
      <c r="AI23" s="63"/>
      <c r="AJ23" s="66"/>
      <c r="AK23" s="67"/>
      <c r="AL23" s="79"/>
    </row>
    <row r="24" spans="1:38">
      <c r="A24" s="37">
        <v>20</v>
      </c>
      <c r="B24" s="38" t="s">
        <v>273</v>
      </c>
      <c r="C24" s="80" t="s">
        <v>274</v>
      </c>
      <c r="D24" s="48"/>
      <c r="E24" s="47"/>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51"/>
      <c r="AG24" s="54"/>
      <c r="AH24" s="47"/>
      <c r="AI24" s="39"/>
      <c r="AJ24" s="40"/>
      <c r="AK24" s="41"/>
      <c r="AL24" s="78"/>
    </row>
    <row r="25" spans="1:38">
      <c r="A25" s="37">
        <v>21</v>
      </c>
      <c r="B25" s="59"/>
      <c r="C25" s="60"/>
      <c r="D25" s="61"/>
      <c r="E25" s="62"/>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4"/>
      <c r="AG25" s="65"/>
      <c r="AH25" s="62"/>
      <c r="AI25" s="63"/>
      <c r="AJ25" s="66"/>
      <c r="AK25" s="67"/>
      <c r="AL25" s="79"/>
    </row>
    <row r="26" spans="1:38">
      <c r="A26" s="37">
        <v>22</v>
      </c>
      <c r="B26" s="38"/>
      <c r="C26" s="44"/>
      <c r="D26" s="48"/>
      <c r="E26" s="47"/>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51"/>
      <c r="AG26" s="54"/>
      <c r="AH26" s="47"/>
      <c r="AI26" s="39"/>
      <c r="AJ26" s="40"/>
      <c r="AK26" s="41"/>
      <c r="AL26" s="78"/>
    </row>
    <row r="27" spans="1:38">
      <c r="A27" s="37">
        <v>23</v>
      </c>
      <c r="B27" s="59"/>
      <c r="C27" s="60"/>
      <c r="D27" s="61"/>
      <c r="E27" s="62"/>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4"/>
      <c r="AG27" s="65"/>
      <c r="AH27" s="62"/>
      <c r="AI27" s="63"/>
      <c r="AJ27" s="66"/>
      <c r="AK27" s="67"/>
      <c r="AL27" s="79"/>
    </row>
    <row r="28" spans="1:38">
      <c r="A28" s="37">
        <v>24</v>
      </c>
      <c r="B28" s="38"/>
      <c r="C28" s="44"/>
      <c r="D28" s="48"/>
      <c r="E28" s="47"/>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51"/>
      <c r="AG28" s="54"/>
      <c r="AH28" s="47"/>
      <c r="AI28" s="39"/>
      <c r="AJ28" s="40"/>
      <c r="AK28" s="41"/>
      <c r="AL28" s="78"/>
    </row>
    <row r="29" spans="1:38">
      <c r="A29" s="37">
        <v>25</v>
      </c>
      <c r="B29" s="59"/>
      <c r="C29" s="60"/>
      <c r="D29" s="61"/>
      <c r="E29" s="62"/>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4"/>
      <c r="AG29" s="65"/>
      <c r="AH29" s="62"/>
      <c r="AI29" s="63"/>
      <c r="AJ29" s="66"/>
      <c r="AK29" s="67"/>
      <c r="AL29" s="79"/>
    </row>
    <row r="30" spans="1:38">
      <c r="A30" s="37">
        <v>26</v>
      </c>
      <c r="B30" s="38"/>
      <c r="C30" s="44"/>
      <c r="D30" s="48"/>
      <c r="E30" s="47"/>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51"/>
      <c r="AG30" s="54"/>
      <c r="AH30" s="47"/>
      <c r="AI30" s="39"/>
      <c r="AJ30" s="40"/>
      <c r="AK30" s="41"/>
      <c r="AL30" s="78"/>
    </row>
    <row r="31" spans="1:38">
      <c r="A31" s="37">
        <v>27</v>
      </c>
      <c r="B31" s="59"/>
      <c r="C31" s="60"/>
      <c r="D31" s="61"/>
      <c r="E31" s="62"/>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4"/>
      <c r="AG31" s="65"/>
      <c r="AH31" s="62"/>
      <c r="AI31" s="63"/>
      <c r="AJ31" s="66"/>
      <c r="AK31" s="67"/>
      <c r="AL31" s="79"/>
    </row>
    <row r="32" spans="1:38">
      <c r="A32" s="37">
        <v>28</v>
      </c>
      <c r="B32" s="38"/>
      <c r="C32" s="44"/>
      <c r="D32" s="48"/>
      <c r="E32" s="47"/>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51"/>
      <c r="AG32" s="54"/>
      <c r="AH32" s="47"/>
      <c r="AI32" s="39"/>
      <c r="AJ32" s="40"/>
      <c r="AK32" s="41"/>
      <c r="AL32" s="78"/>
    </row>
    <row r="33" spans="1:38">
      <c r="A33" s="37">
        <v>29</v>
      </c>
      <c r="B33" s="59"/>
      <c r="C33" s="60"/>
      <c r="D33" s="61"/>
      <c r="E33" s="62"/>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4"/>
      <c r="AG33" s="65"/>
      <c r="AH33" s="62"/>
      <c r="AI33" s="63"/>
      <c r="AJ33" s="66"/>
      <c r="AK33" s="67"/>
      <c r="AL33" s="79"/>
    </row>
    <row r="34" spans="1:38">
      <c r="A34" s="37">
        <v>30</v>
      </c>
      <c r="B34" s="38"/>
      <c r="C34" s="44"/>
      <c r="D34" s="48"/>
      <c r="E34" s="47"/>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51"/>
      <c r="AG34" s="54"/>
      <c r="AH34" s="47"/>
      <c r="AI34" s="39"/>
      <c r="AJ34" s="40"/>
      <c r="AK34" s="41"/>
      <c r="AL34" s="78"/>
    </row>
    <row r="35" spans="1:38">
      <c r="A35" s="37">
        <v>31</v>
      </c>
      <c r="B35" s="59"/>
      <c r="C35" s="60"/>
      <c r="D35" s="61"/>
      <c r="E35" s="62"/>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4"/>
      <c r="AG35" s="65"/>
      <c r="AH35" s="62"/>
      <c r="AI35" s="63"/>
      <c r="AJ35" s="66"/>
      <c r="AK35" s="67"/>
      <c r="AL35" s="79"/>
    </row>
    <row r="36" spans="1:38">
      <c r="A36" s="37">
        <v>32</v>
      </c>
      <c r="B36" s="38"/>
      <c r="C36" s="44"/>
      <c r="D36" s="48"/>
      <c r="E36" s="47"/>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51"/>
      <c r="AG36" s="54"/>
      <c r="AH36" s="47"/>
      <c r="AI36" s="39"/>
      <c r="AJ36" s="40"/>
      <c r="AK36" s="41"/>
      <c r="AL36" s="78"/>
    </row>
    <row r="37" spans="1:38">
      <c r="A37" s="37">
        <v>33</v>
      </c>
      <c r="B37" s="59"/>
      <c r="C37" s="60"/>
      <c r="D37" s="61"/>
      <c r="E37" s="62"/>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4"/>
      <c r="AG37" s="65"/>
      <c r="AH37" s="62"/>
      <c r="AI37" s="63"/>
      <c r="AJ37" s="66"/>
      <c r="AK37" s="67"/>
      <c r="AL37" s="79"/>
    </row>
    <row r="38" spans="1:38">
      <c r="A38" s="37">
        <v>34</v>
      </c>
      <c r="B38" s="38"/>
      <c r="C38" s="44"/>
      <c r="D38" s="48"/>
      <c r="E38" s="47"/>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51"/>
      <c r="AG38" s="54"/>
      <c r="AH38" s="47"/>
      <c r="AI38" s="39"/>
      <c r="AJ38" s="40"/>
      <c r="AK38" s="41"/>
      <c r="AL38" s="78"/>
    </row>
    <row r="39" spans="1:38">
      <c r="A39" s="37">
        <v>35</v>
      </c>
      <c r="B39" s="59"/>
      <c r="C39" s="60"/>
      <c r="D39" s="61"/>
      <c r="E39" s="62"/>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4"/>
      <c r="AG39" s="65"/>
      <c r="AH39" s="62"/>
      <c r="AI39" s="63"/>
      <c r="AJ39" s="66"/>
      <c r="AK39" s="67"/>
      <c r="AL39" s="79"/>
    </row>
    <row r="40" spans="1:38">
      <c r="A40" s="37">
        <v>36</v>
      </c>
      <c r="B40" s="38"/>
      <c r="C40" s="44"/>
      <c r="D40" s="48"/>
      <c r="E40" s="47"/>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51"/>
      <c r="AG40" s="54"/>
      <c r="AH40" s="47"/>
      <c r="AI40" s="39"/>
      <c r="AJ40" s="40"/>
      <c r="AK40" s="41"/>
      <c r="AL40" s="78"/>
    </row>
    <row r="41" spans="1:38">
      <c r="A41" s="37">
        <v>37</v>
      </c>
      <c r="B41" s="59"/>
      <c r="C41" s="60"/>
      <c r="D41" s="61"/>
      <c r="E41" s="62"/>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4"/>
      <c r="AG41" s="65"/>
      <c r="AH41" s="62"/>
      <c r="AI41" s="63"/>
      <c r="AJ41" s="66"/>
      <c r="AK41" s="67"/>
      <c r="AL41" s="79"/>
    </row>
    <row r="42" spans="1:38">
      <c r="A42" s="37">
        <v>38</v>
      </c>
      <c r="B42" s="38"/>
      <c r="C42" s="44"/>
      <c r="D42" s="48"/>
      <c r="E42" s="47"/>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51"/>
      <c r="AG42" s="54"/>
      <c r="AH42" s="47"/>
      <c r="AI42" s="39"/>
      <c r="AJ42" s="40"/>
      <c r="AK42" s="41"/>
      <c r="AL42" s="78"/>
    </row>
    <row r="43" spans="1:38">
      <c r="A43" s="37">
        <v>39</v>
      </c>
      <c r="B43" s="59"/>
      <c r="C43" s="60"/>
      <c r="D43" s="61"/>
      <c r="E43" s="62"/>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4"/>
      <c r="AG43" s="65"/>
      <c r="AH43" s="62"/>
      <c r="AI43" s="63"/>
      <c r="AJ43" s="66"/>
      <c r="AK43" s="67"/>
      <c r="AL43" s="79"/>
    </row>
    <row r="44" spans="1:38">
      <c r="A44" s="37">
        <v>40</v>
      </c>
      <c r="B44" s="38"/>
      <c r="C44" s="44"/>
      <c r="D44" s="48"/>
      <c r="E44" s="47"/>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51"/>
      <c r="AG44" s="54"/>
      <c r="AH44" s="47"/>
      <c r="AI44" s="39"/>
      <c r="AJ44" s="40"/>
      <c r="AK44" s="41"/>
      <c r="AL44" s="78"/>
    </row>
    <row r="45" spans="1:38">
      <c r="A45" s="37">
        <v>41</v>
      </c>
      <c r="B45" s="59"/>
      <c r="C45" s="60"/>
      <c r="D45" s="61"/>
      <c r="E45" s="62"/>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4"/>
      <c r="AG45" s="65"/>
      <c r="AH45" s="62"/>
      <c r="AI45" s="63"/>
      <c r="AJ45" s="66"/>
      <c r="AK45" s="67"/>
      <c r="AL45" s="79"/>
    </row>
    <row r="46" spans="1:38">
      <c r="A46" s="37">
        <v>42</v>
      </c>
      <c r="B46" s="38"/>
      <c r="C46" s="44"/>
      <c r="D46" s="48"/>
      <c r="E46" s="47"/>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51"/>
      <c r="AG46" s="54"/>
      <c r="AH46" s="47"/>
      <c r="AI46" s="39"/>
      <c r="AJ46" s="40"/>
      <c r="AK46" s="41"/>
      <c r="AL46" s="78"/>
    </row>
    <row r="47" spans="1:38">
      <c r="A47" s="37">
        <v>43</v>
      </c>
      <c r="B47" s="59"/>
      <c r="C47" s="60"/>
      <c r="D47" s="61"/>
      <c r="E47" s="62"/>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4"/>
      <c r="AG47" s="65"/>
      <c r="AH47" s="62"/>
      <c r="AI47" s="63"/>
      <c r="AJ47" s="66"/>
      <c r="AK47" s="67"/>
      <c r="AL47" s="79"/>
    </row>
    <row r="48" spans="1:38">
      <c r="A48" s="37">
        <v>44</v>
      </c>
      <c r="B48" s="38"/>
      <c r="C48" s="44"/>
      <c r="D48" s="48"/>
      <c r="E48" s="47"/>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51"/>
      <c r="AG48" s="54"/>
      <c r="AH48" s="47"/>
      <c r="AI48" s="39"/>
      <c r="AJ48" s="40"/>
      <c r="AK48" s="41"/>
      <c r="AL48" s="78"/>
    </row>
    <row r="49" spans="1:38">
      <c r="A49" s="37">
        <v>45</v>
      </c>
      <c r="B49" s="59"/>
      <c r="C49" s="60"/>
      <c r="D49" s="61"/>
      <c r="E49" s="62"/>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4"/>
      <c r="AG49" s="65"/>
      <c r="AH49" s="62"/>
      <c r="AI49" s="63"/>
      <c r="AJ49" s="66"/>
      <c r="AK49" s="67"/>
      <c r="AL49" s="79"/>
    </row>
    <row r="51" spans="1:38" ht="15.75">
      <c r="A51" s="56" t="s">
        <v>275</v>
      </c>
    </row>
    <row r="52" spans="1:38">
      <c r="A52" s="57" t="s">
        <v>276</v>
      </c>
    </row>
    <row r="53" spans="1:38">
      <c r="A53" s="57" t="s">
        <v>277</v>
      </c>
    </row>
    <row r="54" spans="1:38">
      <c r="A54" s="57" t="s">
        <v>278</v>
      </c>
    </row>
    <row r="55" spans="1:38">
      <c r="A55" s="57" t="s">
        <v>279</v>
      </c>
    </row>
    <row r="56" spans="1:38">
      <c r="A56" s="55" t="s">
        <v>280</v>
      </c>
    </row>
    <row r="57" spans="1:38">
      <c r="A57" s="75" t="s">
        <v>281</v>
      </c>
      <c r="B57" s="58" t="s">
        <v>282</v>
      </c>
    </row>
    <row r="59" spans="1:38">
      <c r="A59" s="55" t="s">
        <v>283</v>
      </c>
      <c r="B59" s="58" t="s">
        <v>282</v>
      </c>
    </row>
  </sheetData>
  <mergeCells count="1">
    <mergeCell ref="A1:AE1"/>
  </mergeCells>
  <conditionalFormatting sqref="AJ5:AJ49">
    <cfRule type="cellIs" dxfId="4" priority="1" operator="equal">
      <formula>1</formula>
    </cfRule>
  </conditionalFormatting>
  <conditionalFormatting sqref="AJ5:AJ49">
    <cfRule type="cellIs" dxfId="3" priority="2" operator="between">
      <formula>0.5</formula>
      <formula>0.99</formula>
    </cfRule>
  </conditionalFormatting>
  <conditionalFormatting sqref="AJ5:AJ49 AL5:AL49">
    <cfRule type="cellIs" dxfId="2" priority="3" operator="between">
      <formula>0.01</formula>
      <formula>0.49</formula>
    </cfRule>
  </conditionalFormatting>
  <conditionalFormatting sqref="AL5:AL49">
    <cfRule type="cellIs" dxfId="1" priority="4" operator="greaterThanOrEqual">
      <formula>0.8</formula>
    </cfRule>
  </conditionalFormatting>
  <conditionalFormatting sqref="AL5:AL49">
    <cfRule type="cellIs" dxfId="0" priority="5" operator="between">
      <formula>0.5</formula>
      <formula>0.79</formula>
    </cfRule>
  </conditionalFormatting>
  <hyperlinks>
    <hyperlink ref="C14" r:id="rId1" xr:uid="{1AFDD732-789C-4E0E-9FCD-E495054914F5}"/>
    <hyperlink ref="C15" r:id="rId2" xr:uid="{792391A6-CD76-4FB0-84E2-95060C3F9DD3}"/>
    <hyperlink ref="C16" r:id="rId3" xr:uid="{6F8737EF-4516-4086-AF07-4E33EF9B964E}"/>
    <hyperlink ref="C11" r:id="rId4" xr:uid="{2420F601-71F6-40E8-9901-2E6B165C687B}"/>
    <hyperlink ref="C12" r:id="rId5" xr:uid="{6DF3288A-C81C-4D16-AA44-C008896E646E}"/>
    <hyperlink ref="C13" r:id="rId6" xr:uid="{E014F391-7A25-44A3-BD44-049FE5CA3F18}"/>
    <hyperlink ref="C18" r:id="rId7" xr:uid="{FEBA8F33-4638-4A35-BB46-3F92FE9BA404}"/>
    <hyperlink ref="C19" r:id="rId8" xr:uid="{FEEB4B32-FA56-4313-9B30-0A7252BDB0AD}"/>
    <hyperlink ref="C20" r:id="rId9" xr:uid="{51FF3F7E-6044-463F-A74C-0D0D0BCEABE5}"/>
    <hyperlink ref="C7" r:id="rId10" xr:uid="{8D5868BA-47E0-464C-9C0D-96D2C7D23CD0}"/>
    <hyperlink ref="C21" r:id="rId11" xr:uid="{995C591B-2987-4185-AA31-5E9D193AFD48}"/>
    <hyperlink ref="C8" r:id="rId12" xr:uid="{B0E1B316-DD44-4F4A-9B93-D4ED858118AD}"/>
    <hyperlink ref="C22" r:id="rId13" xr:uid="{31847537-1A66-424A-B939-A6D0B5BE600A}"/>
    <hyperlink ref="C9" r:id="rId14" xr:uid="{26BAB8B1-C849-45B8-ACF9-0132D0E80980}"/>
    <hyperlink ref="C10" r:id="rId15" xr:uid="{EB4C030E-450E-4686-82FB-2F235A9F2BD4}"/>
    <hyperlink ref="C23" r:id="rId16" xr:uid="{01BFC7A3-0C1E-461B-9F6E-FA0507A3558B}"/>
    <hyperlink ref="C24" r:id="rId17" xr:uid="{05D3222E-6249-4861-AF6B-18C10B80785E}"/>
    <hyperlink ref="C17" r:id="rId18" xr:uid="{49896062-58D0-4827-B25A-149D339D3CF5}"/>
    <hyperlink ref="C6" r:id="rId19" xr:uid="{D6EE2A0A-D41D-4B58-BB59-241914E77AB3}"/>
    <hyperlink ref="C5" r:id="rId20" xr:uid="{C9E639D4-04E7-450C-981A-5750796EAC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2026-07-24T08:24:42Z</dcterms:created>
  <dcterms:modified xsi:type="dcterms:W3CDTF">2026-07-29T06:44:25Z</dcterms:modified>
  <cp:category/>
  <cp:contentStatus/>
</cp:coreProperties>
</file>